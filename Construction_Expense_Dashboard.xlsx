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70ed59e5d24e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95d62a875da4367"/>
    <x:sheet xmlns:r="http://schemas.openxmlformats.org/officeDocument/2006/relationships" name="Deposits by David" sheetId="2" r:id="R21180e3509ff4b52"/>
    <x:sheet xmlns:r="http://schemas.openxmlformats.org/officeDocument/2006/relationships" name="Expenses" sheetId="3" r:id="R991126ec49894678"/>
    <x:sheet xmlns:r="http://schemas.openxmlformats.org/officeDocument/2006/relationships" name="Lists" sheetId="4" r:id="Rc0ea6766418843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₱&quot; #,##0;[Red](&quot;₱&quot; #,##0);-"/>
    <x:numFmt numFmtId="201" formatCode="mmm d, yyyy"/>
    <x:numFmt numFmtId="202" formatCode="#,##0.00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7324D"/>
      <x:name val="Carlito"/>
    </x:font>
    <x:font>
      <x:b/>
      <x:sz val="14"/>
      <x:color rgb="FF17324D"/>
      <x:name val="Carlito"/>
    </x:font>
    <x:font>
      <x:b/>
      <x:sz val="13"/>
      <x:color rgb="FF17324D"/>
      <x:name val="Carlito"/>
    </x:font>
    <x:font>
      <x:b/>
      <x:sz val="20"/>
      <x:color rgb="FFFFFFFF"/>
      <x:name val="Carlito"/>
    </x:font>
    <x:font>
      <x:b/>
      <x:sz val="11"/>
      <x:color rgb="FF2E75B6"/>
      <x:name val="Carlito"/>
    </x:font>
    <x:font>
      <x:b/>
      <x:sz val="18"/>
      <x:color rgb="FF17324D"/>
      <x:name val="Carlito"/>
    </x:font>
    <x:font>
      <x:b/>
      <x:sz val="11"/>
      <x:color rgb="FF17324D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2E75B6"/>
      </x:patternFill>
    </x:fill>
    <x:fill>
      <x:patternFill patternType="solid">
        <x:fgColor rgb="FFFFF2CC"/>
      </x:patternFill>
    </x:fill>
    <x:fill>
      <x:patternFill patternType="solid">
        <x:fgColor rgb="FFFFFBE6"/>
      </x:patternFill>
    </x:fill>
    <x:fill>
      <x:patternFill patternType="solid">
        <x:fgColor rgb="FFFCE4D6"/>
      </x:patternFill>
    </x:fill>
    <x:fill>
      <x:patternFill patternType="solid">
        <x:fgColor rgb="FFF3F5F7"/>
      </x:patternFill>
    </x:fill>
    <x:fill>
      <x:patternFill patternType="solid">
        <x:fgColor rgb="FFE67E22"/>
      </x:patternFill>
    </x:fill>
    <x:fill>
      <x:patternFill patternType="solid">
        <x:fgColor rgb="FF2E7D32"/>
      </x:patternFill>
    </x:fill>
    <x:fill>
      <x:patternFill patternType="solid">
        <x:fgColor rgb="FFE2F0D9"/>
      </x:patternFill>
    </x:fill>
  </x:fills>
  <x:borders count="17">
    <x:border/>
    <x:border>
      <x:left style="thin">
        <x:color rgb="FFD7DEE5"/>
      </x:left>
      <x:top style="thin">
        <x:color rgb="FFD7DEE5"/>
      </x:top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</x:border>
    <x:border>
      <x:right style="thin">
        <x:color rgb="FFD7DEE5"/>
      </x:right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</x:border>
    <x:border>
      <x:bottom style="thin">
        <x:color rgb="FFE5E9ED"/>
      </x:bottom>
    </x:border>
    <x:border>
      <x:top style="thin">
        <x:color rgb="FFE5E9ED"/>
      </x:top>
      <x:bottom style="thin">
        <x:color rgb="FFE5E9ED"/>
      </x:bottom>
    </x:border>
    <x:border>
      <x:top style="thin">
        <x:color rgb="FFE5E9ED"/>
      </x:top>
      <x:bottom style="thin">
        <x:color rgb="FFD7DEE5"/>
      </x:bottom>
    </x:border>
    <x:border>
      <x:top style="thin">
        <x:color rgb="FFD7DEE5"/>
      </x:top>
    </x:border>
    <x:border>
      <x:bottom style="thin">
        <x:color rgb="FFD7DEE5"/>
      </x:bottom>
    </x:border>
  </x:borders>
  <x:cellStyleXfs count="1">
    <x:xf numFmtId="0" fontId="0" fillId="0" borderId="0"/>
  </x:cellStyleXfs>
  <x:cellXfs count="19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left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2" xfId="0" applyNumberFormat="1" applyFont="1" applyFill="1" applyBorder="1"/>
    <x:xf numFmtId="200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0" fillId="0" borderId="11" xfId="0" applyNumberFormat="1" applyFont="1" applyFill="1" applyBorder="1"/>
    <x:xf numFmtId="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horizontal="right" vertical="center"/>
    </x:xf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2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1" fillId="4" borderId="12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/>
    <x:xf numFmtId="201" fontId="0" fillId="6" borderId="13" xfId="0" applyNumberFormat="1" applyFont="1" applyFill="1" applyBorder="1"/>
    <x:xf numFmtId="0" fontId="0" fillId="6" borderId="13" xfId="0" applyNumberFormat="1" applyFont="1" applyFill="1" applyBorder="1"/>
    <x:xf numFmtId="202" fontId="0" fillId="6" borderId="13" xfId="0" applyNumberFormat="1" applyFont="1" applyFill="1" applyBorder="1"/>
    <x:xf numFmtId="200" fontId="0" fillId="6" borderId="13" xfId="0" applyNumberFormat="1" applyFont="1" applyFill="1" applyBorder="1"/>
    <x:xf numFmtId="200" fontId="0" fillId="0" borderId="13" xfId="0" applyNumberFormat="1" applyFont="1" applyFill="1" applyBorder="1"/>
    <x:xf numFmtId="0" fontId="0" fillId="0" borderId="14" xfId="0" applyNumberFormat="1" applyFont="1" applyFill="1" applyBorder="1"/>
    <x:xf numFmtId="201" fontId="0" fillId="6" borderId="14" xfId="0" applyNumberFormat="1" applyFont="1" applyFill="1" applyBorder="1"/>
    <x:xf numFmtId="0" fontId="0" fillId="6" borderId="14" xfId="0" applyNumberFormat="1" applyFont="1" applyFill="1" applyBorder="1"/>
    <x:xf numFmtId="202" fontId="0" fillId="6" borderId="14" xfId="0" applyNumberFormat="1" applyFont="1" applyFill="1" applyBorder="1"/>
    <x:xf numFmtId="200" fontId="0" fillId="6" borderId="14" xfId="0" applyNumberFormat="1" applyFont="1" applyFill="1" applyBorder="1"/>
    <x:xf numFmtId="200" fontId="0" fillId="0" borderId="14" xfId="0" applyNumberFormat="1" applyFont="1" applyFill="1" applyBorder="1"/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200" fontId="5" fillId="7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2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1" xfId="0" applyNumberFormat="1" applyFont="1" applyFill="1" applyBorder="1" applyAlignment="1">
      <x:alignment horizontal="center"/>
    </x:xf>
    <x:xf numFmtId="0" fontId="7" fillId="8" borderId="2" xfId="0" applyNumberFormat="1" applyFont="1" applyFill="1" applyBorder="1" applyAlignment="1">
      <x:alignment horizontal="center"/>
    </x:xf>
    <x:xf numFmtId="0" fontId="7" fillId="8" borderId="3" xfId="0" applyNumberFormat="1" applyFont="1" applyFill="1" applyBorder="1" applyAlignment="1">
      <x:alignment horizontal="center"/>
    </x:xf>
    <x:xf numFmtId="0" fontId="7" fillId="8" borderId="4" xfId="0" applyNumberFormat="1" applyFont="1" applyFill="1" applyBorder="1" applyAlignment="1">
      <x:alignment horizontal="center"/>
    </x:xf>
    <x:xf numFmtId="0" fontId="7" fillId="8" borderId="5" xfId="0" applyNumberFormat="1" applyFont="1" applyFill="1" applyBorder="1" applyAlignment="1">
      <x:alignment horizontal="center"/>
    </x:xf>
    <x:xf numFmtId="0" fontId="7" fillId="8" borderId="6" xfId="0" applyNumberFormat="1" applyFont="1" applyFill="1" applyBorder="1" applyAlignment="1">
      <x:alignment horizontal="center"/>
    </x:xf>
    <x:xf numFmtId="0" fontId="7" fillId="8" borderId="1" xfId="0" applyNumberFormat="1" applyFont="1" applyFill="1" applyBorder="1" applyAlignment="1">
      <x:alignment horizontal="center" vertical="center"/>
    </x:xf>
    <x:xf numFmtId="0" fontId="7" fillId="8" borderId="2" xfId="0" applyNumberFormat="1" applyFont="1" applyFill="1" applyBorder="1" applyAlignment="1">
      <x:alignment horizontal="center" vertical="center"/>
    </x:xf>
    <x:xf numFmtId="0" fontId="7" fillId="8" borderId="3" xfId="0" applyNumberFormat="1" applyFont="1" applyFill="1" applyBorder="1" applyAlignment="1">
      <x:alignment horizontal="center" vertical="center"/>
    </x:xf>
    <x:xf numFmtId="0" fontId="7" fillId="8" borderId="4" xfId="0" applyNumberFormat="1" applyFont="1" applyFill="1" applyBorder="1" applyAlignment="1">
      <x:alignment horizontal="center" vertical="center"/>
    </x:xf>
    <x:xf numFmtId="0" fontId="7" fillId="8" borderId="5" xfId="0" applyNumberFormat="1" applyFont="1" applyFill="1" applyBorder="1" applyAlignment="1">
      <x:alignment horizontal="center" vertical="center"/>
    </x:xf>
    <x:xf numFmtId="0" fontId="7" fillId="8" borderId="6" xfId="0" applyNumberFormat="1" applyFont="1" applyFill="1" applyBorder="1" applyAlignment="1">
      <x:alignment horizontal="center" vertical="center"/>
    </x:xf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8" fillId="3" borderId="15" xfId="0" applyNumberFormat="1" applyFont="1" applyFill="1" applyBorder="1"/>
    <x:xf numFmtId="0" fontId="8" fillId="3" borderId="2" xfId="0" applyNumberFormat="1" applyFont="1" applyFill="1" applyBorder="1"/>
    <x:xf numFmtId="0" fontId="8" fillId="3" borderId="3" xfId="0" applyNumberFormat="1" applyFont="1" applyFill="1" applyBorder="1"/>
    <x:xf numFmtId="0" fontId="8" fillId="3" borderId="4" xfId="0" applyNumberFormat="1" applyFont="1" applyFill="1" applyBorder="1"/>
    <x:xf numFmtId="0" fontId="8" fillId="3" borderId="5" xfId="0" applyNumberFormat="1" applyFont="1" applyFill="1" applyBorder="1"/>
    <x:xf numFmtId="0" fontId="8" fillId="3" borderId="16" xfId="0" applyNumberFormat="1" applyFont="1" applyFill="1" applyBorder="1"/>
    <x:xf numFmtId="0" fontId="8" fillId="3" borderId="6" xfId="0" applyNumberFormat="1" applyFont="1" applyFill="1" applyBorder="1"/>
    <x:xf numFmtId="200" fontId="8" fillId="3" borderId="1" xfId="0" applyNumberFormat="1" applyFont="1" applyFill="1" applyBorder="1"/>
    <x:xf numFmtId="200" fontId="8" fillId="3" borderId="15" xfId="0" applyNumberFormat="1" applyFont="1" applyFill="1" applyBorder="1"/>
    <x:xf numFmtId="200" fontId="8" fillId="3" borderId="2" xfId="0" applyNumberFormat="1" applyFont="1" applyFill="1" applyBorder="1"/>
    <x:xf numFmtId="200" fontId="8" fillId="3" borderId="3" xfId="0" applyNumberFormat="1" applyFont="1" applyFill="1" applyBorder="1"/>
    <x:xf numFmtId="200" fontId="8" fillId="3" borderId="0" xfId="0" applyNumberFormat="1" applyFont="1" applyFill="1" applyBorder="1"/>
    <x:xf numFmtId="200" fontId="8" fillId="3" borderId="4" xfId="0" applyNumberFormat="1" applyFont="1" applyFill="1" applyBorder="1"/>
    <x:xf numFmtId="200" fontId="8" fillId="3" borderId="5" xfId="0" applyNumberFormat="1" applyFont="1" applyFill="1" applyBorder="1"/>
    <x:xf numFmtId="200" fontId="8" fillId="3" borderId="16" xfId="0" applyNumberFormat="1" applyFont="1" applyFill="1" applyBorder="1"/>
    <x:xf numFmtId="200" fontId="8" fillId="3" borderId="6" xfId="0" applyNumberFormat="1" applyFont="1" applyFill="1" applyBorder="1"/>
    <x:xf numFmtId="200" fontId="8" fillId="3" borderId="1" xfId="0" applyNumberFormat="1" applyFont="1" applyFill="1" applyBorder="1" applyAlignment="1">
      <x:alignment horizontal="center"/>
    </x:xf>
    <x:xf numFmtId="200" fontId="8" fillId="3" borderId="15" xfId="0" applyNumberFormat="1" applyFont="1" applyFill="1" applyBorder="1" applyAlignment="1">
      <x:alignment horizontal="center"/>
    </x:xf>
    <x:xf numFmtId="200" fontId="8" fillId="3" borderId="2" xfId="0" applyNumberFormat="1" applyFont="1" applyFill="1" applyBorder="1" applyAlignment="1">
      <x:alignment horizontal="center"/>
    </x:xf>
    <x:xf numFmtId="200" fontId="8" fillId="3" borderId="3" xfId="0" applyNumberFormat="1" applyFont="1" applyFill="1" applyBorder="1" applyAlignment="1">
      <x:alignment horizontal="center"/>
    </x:xf>
    <x:xf numFmtId="200" fontId="8" fillId="3" borderId="0" xfId="0" applyNumberFormat="1" applyFont="1" applyFill="1" applyBorder="1" applyAlignment="1">
      <x:alignment horizontal="center"/>
    </x:xf>
    <x:xf numFmtId="200" fontId="8" fillId="3" borderId="4" xfId="0" applyNumberFormat="1" applyFont="1" applyFill="1" applyBorder="1" applyAlignment="1">
      <x:alignment horizontal="center"/>
    </x:xf>
    <x:xf numFmtId="200" fontId="8" fillId="3" borderId="5" xfId="0" applyNumberFormat="1" applyFont="1" applyFill="1" applyBorder="1" applyAlignment="1">
      <x:alignment horizontal="center"/>
    </x:xf>
    <x:xf numFmtId="200" fontId="8" fillId="3" borderId="16" xfId="0" applyNumberFormat="1" applyFont="1" applyFill="1" applyBorder="1" applyAlignment="1">
      <x:alignment horizontal="center"/>
    </x:xf>
    <x:xf numFmtId="200" fontId="8" fillId="3" borderId="6" xfId="0" applyNumberFormat="1" applyFont="1" applyFill="1" applyBorder="1" applyAlignment="1">
      <x:alignment horizontal="center"/>
    </x:xf>
    <x:xf numFmtId="200" fontId="8" fillId="3" borderId="1" xfId="0" applyNumberFormat="1" applyFont="1" applyFill="1" applyBorder="1" applyAlignment="1">
      <x:alignment horizontal="center" vertical="center"/>
    </x:xf>
    <x:xf numFmtId="200" fontId="8" fillId="3" borderId="15" xfId="0" applyNumberFormat="1" applyFont="1" applyFill="1" applyBorder="1" applyAlignment="1">
      <x:alignment horizontal="center" vertical="center"/>
    </x:xf>
    <x:xf numFmtId="200" fontId="8" fillId="3" borderId="2" xfId="0" applyNumberFormat="1" applyFont="1" applyFill="1" applyBorder="1" applyAlignment="1">
      <x:alignment horizontal="center" vertical="center"/>
    </x:xf>
    <x:xf numFmtId="200" fontId="8" fillId="3" borderId="3" xfId="0" applyNumberFormat="1" applyFont="1" applyFill="1" applyBorder="1" applyAlignment="1">
      <x:alignment horizontal="center" vertical="center"/>
    </x:xf>
    <x:xf numFmtId="200" fontId="8" fillId="3" borderId="0" xfId="0" applyNumberFormat="1" applyFont="1" applyFill="1" applyBorder="1" applyAlignment="1">
      <x:alignment horizontal="center" vertical="center"/>
    </x:xf>
    <x:xf numFmtId="200" fontId="8" fillId="3" borderId="4" xfId="0" applyNumberFormat="1" applyFont="1" applyFill="1" applyBorder="1" applyAlignment="1">
      <x:alignment horizontal="center" vertical="center"/>
    </x:xf>
    <x:xf numFmtId="200" fontId="8" fillId="3" borderId="5" xfId="0" applyNumberFormat="1" applyFont="1" applyFill="1" applyBorder="1" applyAlignment="1">
      <x:alignment horizontal="center" vertical="center"/>
    </x:xf>
    <x:xf numFmtId="200" fontId="8" fillId="3" borderId="16" xfId="0" applyNumberFormat="1" applyFont="1" applyFill="1" applyBorder="1" applyAlignment="1">
      <x:alignment horizontal="center" vertical="center"/>
    </x:xf>
    <x:xf numFmtId="200" fontId="8" fillId="3" borderId="6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/>
    <x:xf numFmtId="0" fontId="8" fillId="7" borderId="1" xfId="0" applyNumberFormat="1" applyFont="1" applyFill="1" applyBorder="1"/>
    <x:xf numFmtId="0" fontId="8" fillId="7" borderId="15" xfId="0" applyNumberFormat="1" applyFont="1" applyFill="1" applyBorder="1"/>
    <x:xf numFmtId="0" fontId="8" fillId="7" borderId="2" xfId="0" applyNumberFormat="1" applyFont="1" applyFill="1" applyBorder="1"/>
    <x:xf numFmtId="0" fontId="8" fillId="7" borderId="3" xfId="0" applyNumberFormat="1" applyFont="1" applyFill="1" applyBorder="1"/>
    <x:xf numFmtId="0" fontId="8" fillId="7" borderId="4" xfId="0" applyNumberFormat="1" applyFont="1" applyFill="1" applyBorder="1"/>
    <x:xf numFmtId="0" fontId="8" fillId="7" borderId="5" xfId="0" applyNumberFormat="1" applyFont="1" applyFill="1" applyBorder="1"/>
    <x:xf numFmtId="0" fontId="8" fillId="7" borderId="16" xfId="0" applyNumberFormat="1" applyFont="1" applyFill="1" applyBorder="1"/>
    <x:xf numFmtId="0" fontId="8" fillId="7" borderId="6" xfId="0" applyNumberFormat="1" applyFont="1" applyFill="1" applyBorder="1"/>
    <x:xf numFmtId="200" fontId="8" fillId="7" borderId="1" xfId="0" applyNumberFormat="1" applyFont="1" applyFill="1" applyBorder="1"/>
    <x:xf numFmtId="200" fontId="8" fillId="7" borderId="15" xfId="0" applyNumberFormat="1" applyFont="1" applyFill="1" applyBorder="1"/>
    <x:xf numFmtId="200" fontId="8" fillId="7" borderId="2" xfId="0" applyNumberFormat="1" applyFont="1" applyFill="1" applyBorder="1"/>
    <x:xf numFmtId="200" fontId="8" fillId="7" borderId="3" xfId="0" applyNumberFormat="1" applyFont="1" applyFill="1" applyBorder="1"/>
    <x:xf numFmtId="200" fontId="8" fillId="7" borderId="0" xfId="0" applyNumberFormat="1" applyFont="1" applyFill="1" applyBorder="1"/>
    <x:xf numFmtId="200" fontId="8" fillId="7" borderId="4" xfId="0" applyNumberFormat="1" applyFont="1" applyFill="1" applyBorder="1"/>
    <x:xf numFmtId="200" fontId="8" fillId="7" borderId="5" xfId="0" applyNumberFormat="1" applyFont="1" applyFill="1" applyBorder="1"/>
    <x:xf numFmtId="200" fontId="8" fillId="7" borderId="16" xfId="0" applyNumberFormat="1" applyFont="1" applyFill="1" applyBorder="1"/>
    <x:xf numFmtId="200" fontId="8" fillId="7" borderId="6" xfId="0" applyNumberFormat="1" applyFont="1" applyFill="1" applyBorder="1"/>
    <x:xf numFmtId="200" fontId="8" fillId="7" borderId="1" xfId="0" applyNumberFormat="1" applyFont="1" applyFill="1" applyBorder="1" applyAlignment="1">
      <x:alignment horizontal="center"/>
    </x:xf>
    <x:xf numFmtId="200" fontId="8" fillId="7" borderId="15" xfId="0" applyNumberFormat="1" applyFont="1" applyFill="1" applyBorder="1" applyAlignment="1">
      <x:alignment horizontal="center"/>
    </x:xf>
    <x:xf numFmtId="200" fontId="8" fillId="7" borderId="2" xfId="0" applyNumberFormat="1" applyFont="1" applyFill="1" applyBorder="1" applyAlignment="1">
      <x:alignment horizontal="center"/>
    </x:xf>
    <x:xf numFmtId="200" fontId="8" fillId="7" borderId="3" xfId="0" applyNumberFormat="1" applyFont="1" applyFill="1" applyBorder="1" applyAlignment="1">
      <x:alignment horizontal="center"/>
    </x:xf>
    <x:xf numFmtId="200" fontId="8" fillId="7" borderId="0" xfId="0" applyNumberFormat="1" applyFont="1" applyFill="1" applyBorder="1" applyAlignment="1">
      <x:alignment horizontal="center"/>
    </x:xf>
    <x:xf numFmtId="200" fontId="8" fillId="7" borderId="4" xfId="0" applyNumberFormat="1" applyFont="1" applyFill="1" applyBorder="1" applyAlignment="1">
      <x:alignment horizontal="center"/>
    </x:xf>
    <x:xf numFmtId="200" fontId="8" fillId="7" borderId="5" xfId="0" applyNumberFormat="1" applyFont="1" applyFill="1" applyBorder="1" applyAlignment="1">
      <x:alignment horizontal="center"/>
    </x:xf>
    <x:xf numFmtId="200" fontId="8" fillId="7" borderId="16" xfId="0" applyNumberFormat="1" applyFont="1" applyFill="1" applyBorder="1" applyAlignment="1">
      <x:alignment horizontal="center"/>
    </x:xf>
    <x:xf numFmtId="200" fontId="8" fillId="7" borderId="6" xfId="0" applyNumberFormat="1" applyFont="1" applyFill="1" applyBorder="1" applyAlignment="1">
      <x:alignment horizontal="center"/>
    </x:xf>
    <x:xf numFmtId="200" fontId="8" fillId="7" borderId="1" xfId="0" applyNumberFormat="1" applyFont="1" applyFill="1" applyBorder="1" applyAlignment="1">
      <x:alignment horizontal="center" vertical="center"/>
    </x:xf>
    <x:xf numFmtId="200" fontId="8" fillId="7" borderId="15" xfId="0" applyNumberFormat="1" applyFont="1" applyFill="1" applyBorder="1" applyAlignment="1">
      <x:alignment horizontal="center" vertical="center"/>
    </x:xf>
    <x:xf numFmtId="200" fontId="8" fillId="7" borderId="2" xfId="0" applyNumberFormat="1" applyFont="1" applyFill="1" applyBorder="1" applyAlignment="1">
      <x:alignment horizontal="center" vertical="center"/>
    </x:xf>
    <x:xf numFmtId="200" fontId="8" fillId="7" borderId="3" xfId="0" applyNumberFormat="1" applyFont="1" applyFill="1" applyBorder="1" applyAlignment="1">
      <x:alignment horizontal="center" vertical="center"/>
    </x:xf>
    <x:xf numFmtId="200" fontId="8" fillId="7" borderId="0" xfId="0" applyNumberFormat="1" applyFont="1" applyFill="1" applyBorder="1" applyAlignment="1">
      <x:alignment horizontal="center" vertical="center"/>
    </x:xf>
    <x:xf numFmtId="200" fontId="8" fillId="7" borderId="4" xfId="0" applyNumberFormat="1" applyFont="1" applyFill="1" applyBorder="1" applyAlignment="1">
      <x:alignment horizontal="center" vertical="center"/>
    </x:xf>
    <x:xf numFmtId="200" fontId="8" fillId="7" borderId="5" xfId="0" applyNumberFormat="1" applyFont="1" applyFill="1" applyBorder="1" applyAlignment="1">
      <x:alignment horizontal="center" vertical="center"/>
    </x:xf>
    <x:xf numFmtId="200" fontId="8" fillId="7" borderId="16" xfId="0" applyNumberFormat="1" applyFont="1" applyFill="1" applyBorder="1" applyAlignment="1">
      <x:alignment horizontal="center" vertical="center"/>
    </x:xf>
    <x:xf numFmtId="200" fontId="8" fillId="7" borderId="6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1" xfId="0" applyNumberFormat="1" applyFont="1" applyFill="1" applyBorder="1"/>
    <x:xf numFmtId="0" fontId="8" fillId="11" borderId="2" xfId="0" applyNumberFormat="1" applyFont="1" applyFill="1" applyBorder="1"/>
    <x:xf numFmtId="0" fontId="8" fillId="11" borderId="3" xfId="0" applyNumberFormat="1" applyFont="1" applyFill="1" applyBorder="1"/>
    <x:xf numFmtId="0" fontId="8" fillId="11" borderId="4" xfId="0" applyNumberFormat="1" applyFont="1" applyFill="1" applyBorder="1"/>
    <x:xf numFmtId="0" fontId="8" fillId="11" borderId="5" xfId="0" applyNumberFormat="1" applyFont="1" applyFill="1" applyBorder="1"/>
    <x:xf numFmtId="0" fontId="8" fillId="11" borderId="6" xfId="0" applyNumberFormat="1" applyFont="1" applyFill="1" applyBorder="1"/>
    <x:xf numFmtId="200" fontId="8" fillId="11" borderId="1" xfId="0" applyNumberFormat="1" applyFont="1" applyFill="1" applyBorder="1"/>
    <x:xf numFmtId="200" fontId="8" fillId="11" borderId="2" xfId="0" applyNumberFormat="1" applyFont="1" applyFill="1" applyBorder="1"/>
    <x:xf numFmtId="200" fontId="8" fillId="11" borderId="3" xfId="0" applyNumberFormat="1" applyFont="1" applyFill="1" applyBorder="1"/>
    <x:xf numFmtId="200" fontId="8" fillId="11" borderId="4" xfId="0" applyNumberFormat="1" applyFont="1" applyFill="1" applyBorder="1"/>
    <x:xf numFmtId="200" fontId="8" fillId="11" borderId="5" xfId="0" applyNumberFormat="1" applyFont="1" applyFill="1" applyBorder="1"/>
    <x:xf numFmtId="200" fontId="8" fillId="11" borderId="6" xfId="0" applyNumberFormat="1" applyFont="1" applyFill="1" applyBorder="1"/>
    <x:xf numFmtId="200" fontId="8" fillId="11" borderId="1" xfId="0" applyNumberFormat="1" applyFont="1" applyFill="1" applyBorder="1" applyAlignment="1">
      <x:alignment horizontal="center"/>
    </x:xf>
    <x:xf numFmtId="200" fontId="8" fillId="11" borderId="2" xfId="0" applyNumberFormat="1" applyFont="1" applyFill="1" applyBorder="1" applyAlignment="1">
      <x:alignment horizontal="center"/>
    </x:xf>
    <x:xf numFmtId="200" fontId="8" fillId="11" borderId="3" xfId="0" applyNumberFormat="1" applyFont="1" applyFill="1" applyBorder="1" applyAlignment="1">
      <x:alignment horizontal="center"/>
    </x:xf>
    <x:xf numFmtId="200" fontId="8" fillId="11" borderId="4" xfId="0" applyNumberFormat="1" applyFont="1" applyFill="1" applyBorder="1" applyAlignment="1">
      <x:alignment horizontal="center"/>
    </x:xf>
    <x:xf numFmtId="200" fontId="8" fillId="11" borderId="5" xfId="0" applyNumberFormat="1" applyFont="1" applyFill="1" applyBorder="1" applyAlignment="1">
      <x:alignment horizontal="center"/>
    </x:xf>
    <x:xf numFmtId="200" fontId="8" fillId="11" borderId="6" xfId="0" applyNumberFormat="1" applyFont="1" applyFill="1" applyBorder="1" applyAlignment="1">
      <x:alignment horizontal="center"/>
    </x:xf>
    <x:xf numFmtId="200" fontId="8" fillId="11" borderId="1" xfId="0" applyNumberFormat="1" applyFont="1" applyFill="1" applyBorder="1" applyAlignment="1">
      <x:alignment horizontal="center" vertical="center"/>
    </x:xf>
    <x:xf numFmtId="200" fontId="8" fillId="11" borderId="2" xfId="0" applyNumberFormat="1" applyFont="1" applyFill="1" applyBorder="1" applyAlignment="1">
      <x:alignment horizontal="center" vertical="center"/>
    </x:xf>
    <x:xf numFmtId="200" fontId="8" fillId="11" borderId="3" xfId="0" applyNumberFormat="1" applyFont="1" applyFill="1" applyBorder="1" applyAlignment="1">
      <x:alignment horizontal="center" vertical="center"/>
    </x:xf>
    <x:xf numFmtId="200" fontId="8" fillId="11" borderId="4" xfId="0" applyNumberFormat="1" applyFont="1" applyFill="1" applyBorder="1" applyAlignment="1">
      <x:alignment horizontal="center" vertical="center"/>
    </x:xf>
    <x:xf numFmtId="200" fontId="8" fillId="11" borderId="5" xfId="0" applyNumberFormat="1" applyFont="1" applyFill="1" applyBorder="1" applyAlignment="1">
      <x:alignment horizontal="center" vertical="center"/>
    </x:xf>
    <x:xf numFmtId="200" fontId="8" fillId="11" borderId="6" xfId="0" applyNumberFormat="1" applyFont="1" applyFill="1" applyBorder="1" applyAlignment="1">
      <x:alignment horizontal="center" vertical="center"/>
    </x:xf>
    <x:xf numFmtId="0" fontId="9" fillId="8" borderId="0" xfId="0" applyNumberFormat="1" applyFont="1" applyFill="1" applyBorder="1"/>
    <x:xf numFmtId="0" fontId="9" fillId="8" borderId="1" xfId="0" applyNumberFormat="1" applyFont="1" applyFill="1" applyBorder="1"/>
    <x:xf numFmtId="0" fontId="9" fillId="8" borderId="2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201" fontId="0" fillId="0" borderId="6" xfId="0" applyNumberFormat="1" applyFont="1" applyFill="1" applyBorder="1"/>
    <x:xf numFmtId="0" fontId="0" fillId="8" borderId="1" xfId="0" applyNumberFormat="1" applyFont="1" applyFill="1" applyBorder="1"/>
    <x:xf numFmtId="0" fontId="0" fillId="8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df5427bd4e472f" /><Relationship Type="http://schemas.openxmlformats.org/officeDocument/2006/relationships/theme" Target="/xl/theme/theme1.xml" Id="Ra872b860e7df4f06" /><Relationship Type="http://schemas.openxmlformats.org/officeDocument/2006/relationships/sharedStrings" Target="/xl/sharedStrings.xml" Id="R76460478ee834bb2" /><Relationship Type="http://schemas.openxmlformats.org/officeDocument/2006/relationships/worksheet" Target="/xl/worksheets/sheet1.xml" Id="R195d62a875da4367" /><Relationship Type="http://schemas.openxmlformats.org/officeDocument/2006/relationships/worksheet" Target="/xl/worksheets/sheet2.xml" Id="R21180e3509ff4b52" /><Relationship Type="http://schemas.openxmlformats.org/officeDocument/2006/relationships/worksheet" Target="/xl/worksheets/sheet3.xml" Id="R991126ec49894678" /><Relationship Type="http://schemas.openxmlformats.org/officeDocument/2006/relationships/worksheet" Target="/xl/worksheets/sheet4.xml" Id="Rc0ea67664188433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2c598565a70499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Construction Expenses by Category (₱)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Amount</c:v>
          </c:tx>
          <c:cat>
            <c:strRef>
              <c:f>'Dashboard'!$A$12:$A$21</c:f>
              <c:strCache>
                <c:ptCount val="0"/>
              </c:strCache>
            </c:strRef>
          </c:cat>
          <c:val>
            <c:numRef>
              <c:f>'Dashboard'!$B$12:$B$21</c:f>
              <c:numCache>
                <c:formatCode>"₱" #,##0;[Red]("₱" #,##0);-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₱#,##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2c598565a70499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063be9908740d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>
      <x:c r="A1" s="65" t="str">
        <x:v>CONSTRUCTION FINANCIAL DASHBOARD</x:v>
      </x:c>
      <x:c r="B1" s="65"/>
      <x:c r="C1" s="65"/>
      <x:c r="D1" s="65"/>
      <x:c r="E1" s="65"/>
      <x:c r="F1" s="65"/>
      <x:c r="G1" s="65"/>
      <x:c r="H1" s="65"/>
      <x:c r="I1" s="65"/>
      <x:c r="J1" s="65"/>
    </x:row>
    <x:row r="2">
      <x:c r="A2" s="65"/>
      <x:c r="B2" s="65"/>
      <x:c r="C2" s="65"/>
      <x:c r="D2" s="65"/>
      <x:c r="E2" s="65"/>
      <x:c r="F2" s="65"/>
      <x:c r="G2" s="65"/>
      <x:c r="H2" s="65"/>
      <x:c r="I2" s="65"/>
      <x:c r="J2" s="65"/>
    </x:row>
    <x:row r="3">
      <x:c r="A3" s="66" t="str">
        <x:v>Actual deposits by David and construction expense monitoring</x:v>
      </x:c>
      <x:c r="B3" s="66"/>
      <x:c r="C3" s="66"/>
      <x:c r="D3" s="66"/>
      <x:c r="E3" s="66"/>
      <x:c r="F3" s="66"/>
      <x:c r="G3" s="66"/>
      <x:c r="H3" s="66"/>
      <x:c r="I3" s="66"/>
      <x:c r="J3" s="66"/>
    </x:row>
    <x:row r="5">
      <x:c r="A5" s="18" t="str">
        <x:v>MENU</x:v>
      </x:c>
      <x:c r="B5" s="18"/>
      <x:c r="C5" s="18" t="str">
        <x:v>TOTAL DEPOSITS (₱)</x:v>
      </x:c>
      <x:c r="D5" s="18" t="str">
        <x:v>TOTAL DEPOSITS (₱)</x:v>
      </x:c>
      <x:c r="E5" s="18" t="str">
        <x:v>TOTAL DEPOSITS (₱)</x:v>
      </x:c>
      <x:c r="F5" s="125" t="str">
        <x:v>TOTAL EXPENSES (₱)</x:v>
      </x:c>
      <x:c r="G5" s="125" t="str">
        <x:v>TOTAL EXPENSES (₱)</x:v>
      </x:c>
      <x:c r="H5" s="125" t="str">
        <x:v>TOTAL EXPENSES (₱)</x:v>
      </x:c>
      <x:c r="I5" s="164" t="str">
        <x:v>REMAINING BALANCE (₱)</x:v>
      </x:c>
      <x:c r="J5" s="164" t="str">
        <x:v>REMAINING BALANCE (₱)</x:v>
      </x:c>
    </x:row>
    <x:row r="6">
      <x:c r="A6" s="81" t="str">
        <x:v>1. Deposits by David</x:v>
      </x:c>
      <x:c r="B6" s="82"/>
      <x:c r="C6" s="114" t="n">
        <x:f>'Deposits by David'!D14</x:f>
        <x:v>430000</x:v>
      </x:c>
      <x:c r="D6" s="115"/>
      <x:c r="E6" s="116"/>
      <x:c r="F6" s="153" t="n">
        <x:f>SUM('Expenses'!H5:H104)</x:f>
        <x:v>0</x:v>
      </x:c>
      <x:c r="G6" s="154"/>
      <x:c r="H6" s="155"/>
      <x:c r="I6" s="185" t="n">
        <x:f>C6-F6</x:f>
        <x:v>430000</x:v>
      </x:c>
      <x:c r="J6" s="186"/>
    </x:row>
    <x:row r="7">
      <x:c r="A7" s="83" t="str">
        <x:v>2. Expenses</x:v>
      </x:c>
      <x:c r="B7" s="84"/>
      <x:c r="C7" s="117"/>
      <x:c r="D7" s="118"/>
      <x:c r="E7" s="119"/>
      <x:c r="F7" s="156"/>
      <x:c r="G7" s="157"/>
      <x:c r="H7" s="158"/>
      <x:c r="I7" s="187"/>
      <x:c r="J7" s="188"/>
    </x:row>
    <x:row r="8">
      <x:c r="A8" s="85" t="str">
        <x:v>3. Lists / Categories</x:v>
      </x:c>
      <x:c r="B8" s="86"/>
      <x:c r="C8" s="120"/>
      <x:c r="D8" s="121"/>
      <x:c r="E8" s="122"/>
      <x:c r="F8" s="159"/>
      <x:c r="G8" s="160"/>
      <x:c r="H8" s="161"/>
      <x:c r="I8" s="189"/>
      <x:c r="J8" s="190"/>
    </x:row>
    <x:row r="10">
      <x:c r="A10" s="18" t="str">
        <x:v>EXPENSE SUMMARY BY CATEGORY</x:v>
      </x:c>
      <x:c r="B10" s="18"/>
      <x:c r="C10" s="18"/>
    </x:row>
    <x:row r="11">
      <x:c r="A11" s="192" t="str">
        <x:v>Category</x:v>
      </x:c>
      <x:c r="B11" s="193" t="str">
        <x:v>Amount</x:v>
      </x:c>
    </x:row>
    <x:row r="12">
      <x:c r="A12" s="6" t="str">
        <x:f>'Lists'!A2</x:f>
        <x:v>Materials</x:v>
      </x:c>
      <x:c r="B12" s="194" t="n">
        <x:f>SUMIF('Expenses'!$C$5:$C$104,A12,'Expenses'!$H$5:$H$104)</x:f>
        <x:v>0</x:v>
      </x:c>
    </x:row>
    <x:row r="13">
      <x:c r="A13" s="6" t="str">
        <x:f>'Lists'!A3</x:f>
        <x:v>Labor</x:v>
      </x:c>
      <x:c r="B13" s="194" t="n">
        <x:f>SUMIF('Expenses'!$C$5:$C$104,A13,'Expenses'!$H$5:$H$104)</x:f>
        <x:v>0</x:v>
      </x:c>
    </x:row>
    <x:row r="14">
      <x:c r="A14" s="6" t="str">
        <x:f>'Lists'!A4</x:f>
        <x:v>Equipment</x:v>
      </x:c>
      <x:c r="B14" s="194" t="n">
        <x:f>SUMIF('Expenses'!$C$5:$C$104,A14,'Expenses'!$H$5:$H$104)</x:f>
        <x:v>0</x:v>
      </x:c>
    </x:row>
    <x:row r="15">
      <x:c r="A15" s="6" t="str">
        <x:f>'Lists'!A5</x:f>
        <x:v>Transportation</x:v>
      </x:c>
      <x:c r="B15" s="194" t="n">
        <x:f>SUMIF('Expenses'!$C$5:$C$104,A15,'Expenses'!$H$5:$H$104)</x:f>
        <x:v>0</x:v>
      </x:c>
    </x:row>
    <x:row r="16">
      <x:c r="A16" s="6" t="str">
        <x:f>'Lists'!A6</x:f>
        <x:v>Permits &amp; Fees</x:v>
      </x:c>
      <x:c r="B16" s="194" t="n">
        <x:f>SUMIF('Expenses'!$C$5:$C$104,A16,'Expenses'!$H$5:$H$104)</x:f>
        <x:v>0</x:v>
      </x:c>
    </x:row>
    <x:row r="17">
      <x:c r="A17" s="6" t="str">
        <x:f>'Lists'!A7</x:f>
        <x:v>Utilities</x:v>
      </x:c>
      <x:c r="B17" s="194" t="n">
        <x:f>SUMIF('Expenses'!$C$5:$C$104,A17,'Expenses'!$H$5:$H$104)</x:f>
        <x:v>0</x:v>
      </x:c>
    </x:row>
    <x:row r="18">
      <x:c r="A18" s="6" t="str">
        <x:f>'Lists'!A8</x:f>
        <x:v>Food &amp; Allowance</x:v>
      </x:c>
      <x:c r="B18" s="194" t="n">
        <x:f>SUMIF('Expenses'!$C$5:$C$104,A18,'Expenses'!$H$5:$H$104)</x:f>
        <x:v>0</x:v>
      </x:c>
    </x:row>
    <x:row r="19">
      <x:c r="A19" s="6" t="str">
        <x:f>'Lists'!A9</x:f>
        <x:v>Subcontractor</x:v>
      </x:c>
      <x:c r="B19" s="194" t="n">
        <x:f>SUMIF('Expenses'!$C$5:$C$104,A19,'Expenses'!$H$5:$H$104)</x:f>
        <x:v>0</x:v>
      </x:c>
    </x:row>
    <x:row r="20">
      <x:c r="A20" s="6" t="str">
        <x:f>'Lists'!A10</x:f>
        <x:v>Miscellaneous</x:v>
      </x:c>
      <x:c r="B20" s="194" t="n">
        <x:f>SUMIF('Expenses'!$C$5:$C$104,A20,'Expenses'!$H$5:$H$104)</x:f>
        <x:v>0</x:v>
      </x:c>
    </x:row>
    <x:row r="21">
      <x:c r="A21" s="8" t="str">
        <x:f>'Lists'!A11</x:f>
        <x:v>Other</x:v>
      </x:c>
      <x:c r="B21" s="195" t="n">
        <x:f>SUMIF('Expenses'!$C$5:$C$104,A21,'Expenses'!$H$5:$H$104)</x:f>
        <x:v>0</x:v>
      </x:c>
    </x:row>
    <x:row r="23">
      <x:c r="A23" s="3" t="str">
        <x:v>PROJECT CONTROL</x:v>
      </x:c>
      <x:c r="B23" s="3"/>
      <x:c r="C23" s="3"/>
    </x:row>
    <x:row r="24">
      <x:c r="A24" s="192" t="str">
        <x:v>Metric</x:v>
      </x:c>
      <x:c r="B24" s="193" t="str">
        <x:v>Status / Value</x:v>
      </x:c>
    </x:row>
    <x:row r="25">
      <x:c r="A25" s="6" t="str">
        <x:v>Deposit source total</x:v>
      </x:c>
      <x:c r="B25" s="7" t="str">
        <x:f>IF(C6='Deposits by David'!D14,"PASS","CHECK")</x:f>
        <x:v>PASS</x:v>
      </x:c>
    </x:row>
    <x:row r="26">
      <x:c r="A26" s="6" t="str">
        <x:v>Balance status</x:v>
      </x:c>
      <x:c r="B26" s="7" t="str">
        <x:f>IF(I6&gt;=0,"AVAILABLE","OVERSPENT")</x:f>
        <x:v>AVAILABLE</x:v>
      </x:c>
    </x:row>
    <x:row r="27">
      <x:c r="A27" s="8" t="str">
        <x:v>Last deposit date</x:v>
      </x:c>
      <x:c r="B27" s="196" t="n">
        <x:f>MAX('Deposits by David'!C5:C13)</x:f>
        <x:v>46227</x:v>
      </x:c>
    </x:row>
  </x:sheetData>
  <x:mergeCells>
    <x:mergeCell ref="A1:J2"/>
    <x:mergeCell ref="A3:J3"/>
    <x:mergeCell ref="A5:B5"/>
    <x:mergeCell ref="A6:B6"/>
    <x:mergeCell ref="A7:B7"/>
    <x:mergeCell ref="A8:B8"/>
    <x:mergeCell ref="C5:E5"/>
    <x:mergeCell ref="C6:E8"/>
    <x:mergeCell ref="F5:H5"/>
    <x:mergeCell ref="F6:H8"/>
    <x:mergeCell ref="I5:J5"/>
    <x:mergeCell ref="I6:J8"/>
    <x:mergeCell ref="A10:C10"/>
    <x:mergeCell ref="A23:C23"/>
  </x:mergeCells>
  <x:pageMargins left="0.7" right="0.7" top="0.75" bottom="0.75" header="0.3" footer="0.3"/>
  <x:drawing xmlns:r="http://schemas.openxmlformats.org/officeDocument/2006/relationships" r:id="R1b063be9908740d0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28" hidden="0" customWidth="1"/>
    <x:col min="5" max="5" width="16" hidden="0" customWidth="1"/>
  </x:cols>
  <x:sheetData>
    <x:row r="1" ht="34" customHeight="1">
      <x:c r="A1" s="12" t="str">
        <x:v>ACTUAL DEPOSIT BY DAVID</x:v>
      </x:c>
      <x:c r="B1" s="12"/>
      <x:c r="C1" s="12"/>
      <x:c r="D1" s="12"/>
      <x:c r="E1" s="12"/>
    </x:row>
    <x:row r="2">
      <x:c r="A2" s="15" t="str">
        <x:v>Source: user-provided deposit list</x:v>
      </x:c>
      <x:c r="B2" s="15" t="str"/>
      <x:c r="C2" s="15" t="str"/>
      <x:c r="D2" s="15" t="str"/>
      <x:c r="E2" s="15" t="str"/>
    </x:row>
    <x:row r="4">
      <x:c r="A4" s="18" t="str">
        <x:v>No.</x:v>
      </x:c>
      <x:c r="B4" s="18" t="str">
        <x:v>Deposit</x:v>
      </x:c>
      <x:c r="C4" s="18" t="str">
        <x:v>Date</x:v>
      </x:c>
      <x:c r="D4" s="18" t="str">
        <x:v>Remarks</x:v>
      </x:c>
      <x:c r="E4" s="18" t="str">
        <x:v>Depositor</x:v>
      </x:c>
    </x:row>
    <x:row r="5">
      <x:c r="A5" s="9" t="n">
        <x:v>1</x:v>
      </x:c>
      <x:c r="B5" s="21" t="n">
        <x:v>100000</x:v>
      </x:c>
      <x:c r="C5" s="22" t="n">
        <x:v>46201</x:v>
      </x:c>
      <x:c r="D5" s="23" t="str">
        <x:v>Received</x:v>
      </x:c>
      <x:c r="E5" s="8" t="str">
        <x:v>David</x:v>
      </x:c>
    </x:row>
    <x:row r="6">
      <x:c r="A6" s="24" t="n">
        <x:v>2</x:v>
      </x:c>
      <x:c r="B6" s="25" t="n">
        <x:v>50000</x:v>
      </x:c>
      <x:c r="C6" s="26" t="n">
        <x:v>46203</x:v>
      </x:c>
      <x:c r="D6" s="27" t="str">
        <x:v>Received</x:v>
      </x:c>
      <x:c r="E6" s="28" t="str">
        <x:v>David</x:v>
      </x:c>
    </x:row>
    <x:row r="7">
      <x:c r="A7" s="24" t="n">
        <x:v>3</x:v>
      </x:c>
      <x:c r="B7" s="25" t="n">
        <x:v>30000</x:v>
      </x:c>
      <x:c r="C7" s="26" t="n">
        <x:v>46206</x:v>
      </x:c>
      <x:c r="D7" s="27" t="str">
        <x:v>Received</x:v>
      </x:c>
      <x:c r="E7" s="28" t="str">
        <x:v>David</x:v>
      </x:c>
    </x:row>
    <x:row r="8">
      <x:c r="A8" s="24" t="n">
        <x:v>4</x:v>
      </x:c>
      <x:c r="B8" s="25" t="n">
        <x:v>50000</x:v>
      </x:c>
      <x:c r="C8" s="26" t="n">
        <x:v>46210</x:v>
      </x:c>
      <x:c r="D8" s="27" t="str">
        <x:v>Received</x:v>
      </x:c>
      <x:c r="E8" s="28" t="str">
        <x:v>David</x:v>
      </x:c>
    </x:row>
    <x:row r="9">
      <x:c r="A9" s="24" t="n">
        <x:v>5</x:v>
      </x:c>
      <x:c r="B9" s="25" t="n">
        <x:v>20000</x:v>
      </x:c>
      <x:c r="C9" s="26" t="n">
        <x:v>46213</x:v>
      </x:c>
      <x:c r="D9" s="27" t="str">
        <x:v>Received</x:v>
      </x:c>
      <x:c r="E9" s="28" t="str">
        <x:v>David</x:v>
      </x:c>
    </x:row>
    <x:row r="10">
      <x:c r="A10" s="24" t="n">
        <x:v>6</x:v>
      </x:c>
      <x:c r="B10" s="25" t="n">
        <x:v>120000</x:v>
      </x:c>
      <x:c r="C10" s="26" t="n">
        <x:v>46217</x:v>
      </x:c>
      <x:c r="D10" s="27" t="str">
        <x:v>Received</x:v>
      </x:c>
      <x:c r="E10" s="28" t="str">
        <x:v>David</x:v>
      </x:c>
    </x:row>
    <x:row r="11">
      <x:c r="A11" s="24" t="n">
        <x:v>7</x:v>
      </x:c>
      <x:c r="B11" s="25" t="n">
        <x:v>20000</x:v>
      </x:c>
      <x:c r="C11" s="26" t="n">
        <x:v>46217</x:v>
      </x:c>
      <x:c r="D11" s="27" t="str">
        <x:v>Received for tiles</x:v>
      </x:c>
      <x:c r="E11" s="28" t="str">
        <x:v>David</x:v>
      </x:c>
    </x:row>
    <x:row r="12">
      <x:c r="A12" s="24" t="n">
        <x:v>8</x:v>
      </x:c>
      <x:c r="B12" s="25" t="n">
        <x:v>10000</x:v>
      </x:c>
      <x:c r="C12" s="26" t="n">
        <x:v>46217</x:v>
      </x:c>
      <x:c r="D12" s="27" t="str">
        <x:v>Received from Ral</x:v>
      </x:c>
      <x:c r="E12" s="28" t="str">
        <x:v>David</x:v>
      </x:c>
    </x:row>
    <x:row r="13">
      <x:c r="A13" s="29" t="n">
        <x:v>9</x:v>
      </x:c>
      <x:c r="B13" s="30" t="n">
        <x:v>30000</x:v>
      </x:c>
      <x:c r="C13" s="31" t="n">
        <x:v>46227</x:v>
      </x:c>
      <x:c r="D13" s="32" t="str">
        <x:v>Received</x:v>
      </x:c>
      <x:c r="E13" s="33" t="str">
        <x:v>David</x:v>
      </x:c>
    </x:row>
    <x:row r="14">
      <x:c r="A14" s="36" t="str">
        <x:v>TOTAL ACTUAL DEPOSIT</x:v>
      </x:c>
      <x:c r="B14" s="36"/>
      <x:c r="C14" s="36"/>
      <x:c r="D14" s="38" t="n">
        <x:f>SUM(B5:B13)</x:f>
        <x:v>430000</x:v>
      </x:c>
      <x:c r="E14" s="38"/>
    </x:row>
    <x:row r="15">
      <x:c r="A15" s="36"/>
      <x:c r="B15" s="36"/>
      <x:c r="C15" s="36"/>
      <x:c r="D15" s="38"/>
      <x:c r="E15" s="38"/>
    </x:row>
  </x:sheetData>
  <x:mergeCells>
    <x:mergeCell ref="A1:E1"/>
    <x:mergeCell ref="A2:E2"/>
    <x:mergeCell ref="A14:C15"/>
    <x:mergeCell ref="D14:E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28" hidden="0" customWidth="1"/>
    <x:col min="5" max="5" width="24" hidden="0" customWidth="1"/>
    <x:col min="6" max="6" width="10" hidden="0" customWidth="1"/>
    <x:col min="7" max="7" width="15" hidden="0" customWidth="1"/>
    <x:col min="8" max="8" width="17" hidden="0" customWidth="1"/>
    <x:col min="9" max="9" width="20" hidden="0" customWidth="1"/>
    <x:col min="10" max="10" width="26" hidden="0" customWidth="1"/>
  </x:cols>
  <x:sheetData>
    <x:row r="1" ht="34" customHeight="1">
      <x:c r="A1" s="12" t="str">
        <x:v>CONSTRUCTION EXPENSES</x:v>
      </x:c>
      <x:c r="B1" s="12"/>
      <x:c r="C1" s="12"/>
      <x:c r="D1" s="12"/>
      <x:c r="E1" s="12"/>
      <x:c r="F1" s="12"/>
      <x:c r="G1" s="12"/>
      <x:c r="H1" s="12"/>
      <x:c r="I1" s="12"/>
      <x:c r="J1" s="12"/>
    </x:row>
    <x:row r="2">
      <x:c r="A2" s="40" t="str">
        <x:v>Enter every project expense below. Yellow cells are for data entry; Amount is automatically calculated.</x:v>
      </x:c>
      <x:c r="B2" s="40"/>
      <x:c r="C2" s="40"/>
      <x:c r="D2" s="40"/>
      <x:c r="E2" s="40"/>
      <x:c r="F2" s="40"/>
      <x:c r="G2" s="40"/>
      <x:c r="H2" s="40"/>
      <x:c r="I2" s="40"/>
      <x:c r="J2" s="40"/>
    </x:row>
    <x:row r="4">
      <x:c r="A4" s="47" t="str">
        <x:v>Expense ID</x:v>
      </x:c>
      <x:c r="B4" s="47" t="str">
        <x:v>Date</x:v>
      </x:c>
      <x:c r="C4" s="47" t="str">
        <x:v>Category</x:v>
      </x:c>
      <x:c r="D4" s="47" t="str">
        <x:v>Description</x:v>
      </x:c>
      <x:c r="E4" s="47" t="str">
        <x:v>Supplier / Payee</x:v>
      </x:c>
      <x:c r="F4" s="47" t="str">
        <x:v>Qty</x:v>
      </x:c>
      <x:c r="G4" s="47" t="str">
        <x:v>Unit Cost</x:v>
      </x:c>
      <x:c r="H4" s="47" t="str">
        <x:v>Amount</x:v>
      </x:c>
      <x:c r="I4" s="47" t="str">
        <x:v>Payment Method</x:v>
      </x:c>
      <x:c r="J4" s="47" t="str">
        <x:v>Remarks</x:v>
      </x:c>
    </x:row>
    <x:row r="5">
      <x:c r="A5" s="48" t="str">
        <x:v>EXP-001</x:v>
      </x:c>
      <x:c r="B5" s="49"/>
      <x:c r="C5" s="50"/>
      <x:c r="D5" s="50"/>
      <x:c r="E5" s="50"/>
      <x:c r="F5" s="51"/>
      <x:c r="G5" s="52"/>
      <x:c r="H5" s="53" t="str">
        <x:f>IF(OR(F5="",G5=""),"",F5*G5)</x:f>
      </x:c>
      <x:c r="I5" s="50"/>
      <x:c r="J5" s="50"/>
    </x:row>
    <x:row r="6">
      <x:c r="A6" s="48" t="str">
        <x:v>EXP-002</x:v>
      </x:c>
      <x:c r="B6" s="49"/>
      <x:c r="C6" s="50"/>
      <x:c r="D6" s="50"/>
      <x:c r="E6" s="50"/>
      <x:c r="F6" s="51"/>
      <x:c r="G6" s="52"/>
      <x:c r="H6" s="53" t="str">
        <x:f>IF(OR(F6="",G6=""),"",F6*G6)</x:f>
      </x:c>
      <x:c r="I6" s="50"/>
      <x:c r="J6" s="50"/>
    </x:row>
    <x:row r="7">
      <x:c r="A7" s="48" t="str">
        <x:v>EXP-003</x:v>
      </x:c>
      <x:c r="B7" s="49"/>
      <x:c r="C7" s="50"/>
      <x:c r="D7" s="50"/>
      <x:c r="E7" s="50"/>
      <x:c r="F7" s="51"/>
      <x:c r="G7" s="52"/>
      <x:c r="H7" s="53" t="str">
        <x:f>IF(OR(F7="",G7=""),"",F7*G7)</x:f>
      </x:c>
      <x:c r="I7" s="50"/>
      <x:c r="J7" s="50"/>
    </x:row>
    <x:row r="8">
      <x:c r="A8" s="48" t="str">
        <x:v>EXP-004</x:v>
      </x:c>
      <x:c r="B8" s="49"/>
      <x:c r="C8" s="50"/>
      <x:c r="D8" s="50"/>
      <x:c r="E8" s="50"/>
      <x:c r="F8" s="51"/>
      <x:c r="G8" s="52"/>
      <x:c r="H8" s="53" t="str">
        <x:f>IF(OR(F8="",G8=""),"",F8*G8)</x:f>
      </x:c>
      <x:c r="I8" s="50"/>
      <x:c r="J8" s="50"/>
    </x:row>
    <x:row r="9">
      <x:c r="A9" s="48" t="str">
        <x:v>EXP-005</x:v>
      </x:c>
      <x:c r="B9" s="49"/>
      <x:c r="C9" s="50"/>
      <x:c r="D9" s="50"/>
      <x:c r="E9" s="50"/>
      <x:c r="F9" s="51"/>
      <x:c r="G9" s="52"/>
      <x:c r="H9" s="53" t="str">
        <x:f>IF(OR(F9="",G9=""),"",F9*G9)</x:f>
      </x:c>
      <x:c r="I9" s="50"/>
      <x:c r="J9" s="50"/>
    </x:row>
    <x:row r="10">
      <x:c r="A10" s="48" t="str">
        <x:v>EXP-006</x:v>
      </x:c>
      <x:c r="B10" s="49"/>
      <x:c r="C10" s="50"/>
      <x:c r="D10" s="50"/>
      <x:c r="E10" s="50"/>
      <x:c r="F10" s="51"/>
      <x:c r="G10" s="52"/>
      <x:c r="H10" s="53" t="str">
        <x:f>IF(OR(F10="",G10=""),"",F10*G10)</x:f>
      </x:c>
      <x:c r="I10" s="50"/>
      <x:c r="J10" s="50"/>
    </x:row>
    <x:row r="11">
      <x:c r="A11" s="48" t="str">
        <x:v>EXP-007</x:v>
      </x:c>
      <x:c r="B11" s="49"/>
      <x:c r="C11" s="50"/>
      <x:c r="D11" s="50"/>
      <x:c r="E11" s="50"/>
      <x:c r="F11" s="51"/>
      <x:c r="G11" s="52"/>
      <x:c r="H11" s="53" t="str">
        <x:f>IF(OR(F11="",G11=""),"",F11*G11)</x:f>
      </x:c>
      <x:c r="I11" s="50"/>
      <x:c r="J11" s="50"/>
    </x:row>
    <x:row r="12">
      <x:c r="A12" s="48" t="str">
        <x:v>EXP-008</x:v>
      </x:c>
      <x:c r="B12" s="49"/>
      <x:c r="C12" s="50"/>
      <x:c r="D12" s="50"/>
      <x:c r="E12" s="50"/>
      <x:c r="F12" s="51"/>
      <x:c r="G12" s="52"/>
      <x:c r="H12" s="53" t="str">
        <x:f>IF(OR(F12="",G12=""),"",F12*G12)</x:f>
      </x:c>
      <x:c r="I12" s="50"/>
      <x:c r="J12" s="50"/>
    </x:row>
    <x:row r="13">
      <x:c r="A13" s="48" t="str">
        <x:v>EXP-009</x:v>
      </x:c>
      <x:c r="B13" s="49"/>
      <x:c r="C13" s="50"/>
      <x:c r="D13" s="50"/>
      <x:c r="E13" s="50"/>
      <x:c r="F13" s="51"/>
      <x:c r="G13" s="52"/>
      <x:c r="H13" s="53" t="str">
        <x:f>IF(OR(F13="",G13=""),"",F13*G13)</x:f>
      </x:c>
      <x:c r="I13" s="50"/>
      <x:c r="J13" s="50"/>
    </x:row>
    <x:row r="14">
      <x:c r="A14" s="48" t="str">
        <x:v>EXP-010</x:v>
      </x:c>
      <x:c r="B14" s="49"/>
      <x:c r="C14" s="50"/>
      <x:c r="D14" s="50"/>
      <x:c r="E14" s="50"/>
      <x:c r="F14" s="51"/>
      <x:c r="G14" s="52"/>
      <x:c r="H14" s="53" t="str">
        <x:f>IF(OR(F14="",G14=""),"",F14*G14)</x:f>
      </x:c>
      <x:c r="I14" s="50"/>
      <x:c r="J14" s="50"/>
    </x:row>
    <x:row r="15">
      <x:c r="A15" s="48" t="str">
        <x:v>EXP-011</x:v>
      </x:c>
      <x:c r="B15" s="49"/>
      <x:c r="C15" s="50"/>
      <x:c r="D15" s="50"/>
      <x:c r="E15" s="50"/>
      <x:c r="F15" s="51"/>
      <x:c r="G15" s="52"/>
      <x:c r="H15" s="53" t="str">
        <x:f>IF(OR(F15="",G15=""),"",F15*G15)</x:f>
      </x:c>
      <x:c r="I15" s="50"/>
      <x:c r="J15" s="50"/>
    </x:row>
    <x:row r="16">
      <x:c r="A16" s="48" t="str">
        <x:v>EXP-012</x:v>
      </x:c>
      <x:c r="B16" s="49"/>
      <x:c r="C16" s="50"/>
      <x:c r="D16" s="50"/>
      <x:c r="E16" s="50"/>
      <x:c r="F16" s="51"/>
      <x:c r="G16" s="52"/>
      <x:c r="H16" s="53" t="str">
        <x:f>IF(OR(F16="",G16=""),"",F16*G16)</x:f>
      </x:c>
      <x:c r="I16" s="50"/>
      <x:c r="J16" s="50"/>
    </x:row>
    <x:row r="17">
      <x:c r="A17" s="48" t="str">
        <x:v>EXP-013</x:v>
      </x:c>
      <x:c r="B17" s="49"/>
      <x:c r="C17" s="50"/>
      <x:c r="D17" s="50"/>
      <x:c r="E17" s="50"/>
      <x:c r="F17" s="51"/>
      <x:c r="G17" s="52"/>
      <x:c r="H17" s="53" t="str">
        <x:f>IF(OR(F17="",G17=""),"",F17*G17)</x:f>
      </x:c>
      <x:c r="I17" s="50"/>
      <x:c r="J17" s="50"/>
    </x:row>
    <x:row r="18">
      <x:c r="A18" s="48" t="str">
        <x:v>EXP-014</x:v>
      </x:c>
      <x:c r="B18" s="49"/>
      <x:c r="C18" s="50"/>
      <x:c r="D18" s="50"/>
      <x:c r="E18" s="50"/>
      <x:c r="F18" s="51"/>
      <x:c r="G18" s="52"/>
      <x:c r="H18" s="53" t="str">
        <x:f>IF(OR(F18="",G18=""),"",F18*G18)</x:f>
      </x:c>
      <x:c r="I18" s="50"/>
      <x:c r="J18" s="50"/>
    </x:row>
    <x:row r="19">
      <x:c r="A19" s="48" t="str">
        <x:v>EXP-015</x:v>
      </x:c>
      <x:c r="B19" s="49"/>
      <x:c r="C19" s="50"/>
      <x:c r="D19" s="50"/>
      <x:c r="E19" s="50"/>
      <x:c r="F19" s="51"/>
      <x:c r="G19" s="52"/>
      <x:c r="H19" s="53" t="str">
        <x:f>IF(OR(F19="",G19=""),"",F19*G19)</x:f>
      </x:c>
      <x:c r="I19" s="50"/>
      <x:c r="J19" s="50"/>
    </x:row>
    <x:row r="20">
      <x:c r="A20" s="48" t="str">
        <x:v>EXP-016</x:v>
      </x:c>
      <x:c r="B20" s="49"/>
      <x:c r="C20" s="50"/>
      <x:c r="D20" s="50"/>
      <x:c r="E20" s="50"/>
      <x:c r="F20" s="51"/>
      <x:c r="G20" s="52"/>
      <x:c r="H20" s="53" t="str">
        <x:f>IF(OR(F20="",G20=""),"",F20*G20)</x:f>
      </x:c>
      <x:c r="I20" s="50"/>
      <x:c r="J20" s="50"/>
    </x:row>
    <x:row r="21">
      <x:c r="A21" s="48" t="str">
        <x:v>EXP-017</x:v>
      </x:c>
      <x:c r="B21" s="49"/>
      <x:c r="C21" s="50"/>
      <x:c r="D21" s="50"/>
      <x:c r="E21" s="50"/>
      <x:c r="F21" s="51"/>
      <x:c r="G21" s="52"/>
      <x:c r="H21" s="53" t="str">
        <x:f>IF(OR(F21="",G21=""),"",F21*G21)</x:f>
      </x:c>
      <x:c r="I21" s="50"/>
      <x:c r="J21" s="50"/>
    </x:row>
    <x:row r="22">
      <x:c r="A22" s="48" t="str">
        <x:v>EXP-018</x:v>
      </x:c>
      <x:c r="B22" s="49"/>
      <x:c r="C22" s="50"/>
      <x:c r="D22" s="50"/>
      <x:c r="E22" s="50"/>
      <x:c r="F22" s="51"/>
      <x:c r="G22" s="52"/>
      <x:c r="H22" s="53" t="str">
        <x:f>IF(OR(F22="",G22=""),"",F22*G22)</x:f>
      </x:c>
      <x:c r="I22" s="50"/>
      <x:c r="J22" s="50"/>
    </x:row>
    <x:row r="23">
      <x:c r="A23" s="48" t="str">
        <x:v>EXP-019</x:v>
      </x:c>
      <x:c r="B23" s="49"/>
      <x:c r="C23" s="50"/>
      <x:c r="D23" s="50"/>
      <x:c r="E23" s="50"/>
      <x:c r="F23" s="51"/>
      <x:c r="G23" s="52"/>
      <x:c r="H23" s="53" t="str">
        <x:f>IF(OR(F23="",G23=""),"",F23*G23)</x:f>
      </x:c>
      <x:c r="I23" s="50"/>
      <x:c r="J23" s="50"/>
    </x:row>
    <x:row r="24">
      <x:c r="A24" s="48" t="str">
        <x:v>EXP-020</x:v>
      </x:c>
      <x:c r="B24" s="49"/>
      <x:c r="C24" s="50"/>
      <x:c r="D24" s="50"/>
      <x:c r="E24" s="50"/>
      <x:c r="F24" s="51"/>
      <x:c r="G24" s="52"/>
      <x:c r="H24" s="53" t="str">
        <x:f>IF(OR(F24="",G24=""),"",F24*G24)</x:f>
      </x:c>
      <x:c r="I24" s="50"/>
      <x:c r="J24" s="50"/>
    </x:row>
    <x:row r="25">
      <x:c r="A25" s="48" t="str">
        <x:v>EXP-021</x:v>
      </x:c>
      <x:c r="B25" s="49"/>
      <x:c r="C25" s="50"/>
      <x:c r="D25" s="50"/>
      <x:c r="E25" s="50"/>
      <x:c r="F25" s="51"/>
      <x:c r="G25" s="52"/>
      <x:c r="H25" s="53" t="str">
        <x:f>IF(OR(F25="",G25=""),"",F25*G25)</x:f>
      </x:c>
      <x:c r="I25" s="50"/>
      <x:c r="J25" s="50"/>
    </x:row>
    <x:row r="26">
      <x:c r="A26" s="48" t="str">
        <x:v>EXP-022</x:v>
      </x:c>
      <x:c r="B26" s="49"/>
      <x:c r="C26" s="50"/>
      <x:c r="D26" s="50"/>
      <x:c r="E26" s="50"/>
      <x:c r="F26" s="51"/>
      <x:c r="G26" s="52"/>
      <x:c r="H26" s="53" t="str">
        <x:f>IF(OR(F26="",G26=""),"",F26*G26)</x:f>
      </x:c>
      <x:c r="I26" s="50"/>
      <x:c r="J26" s="50"/>
    </x:row>
    <x:row r="27">
      <x:c r="A27" s="48" t="str">
        <x:v>EXP-023</x:v>
      </x:c>
      <x:c r="B27" s="49"/>
      <x:c r="C27" s="50"/>
      <x:c r="D27" s="50"/>
      <x:c r="E27" s="50"/>
      <x:c r="F27" s="51"/>
      <x:c r="G27" s="52"/>
      <x:c r="H27" s="53" t="str">
        <x:f>IF(OR(F27="",G27=""),"",F27*G27)</x:f>
      </x:c>
      <x:c r="I27" s="50"/>
      <x:c r="J27" s="50"/>
    </x:row>
    <x:row r="28">
      <x:c r="A28" s="48" t="str">
        <x:v>EXP-024</x:v>
      </x:c>
      <x:c r="B28" s="49"/>
      <x:c r="C28" s="50"/>
      <x:c r="D28" s="50"/>
      <x:c r="E28" s="50"/>
      <x:c r="F28" s="51"/>
      <x:c r="G28" s="52"/>
      <x:c r="H28" s="53" t="str">
        <x:f>IF(OR(F28="",G28=""),"",F28*G28)</x:f>
      </x:c>
      <x:c r="I28" s="50"/>
      <x:c r="J28" s="50"/>
    </x:row>
    <x:row r="29">
      <x:c r="A29" s="48" t="str">
        <x:v>EXP-025</x:v>
      </x:c>
      <x:c r="B29" s="49"/>
      <x:c r="C29" s="50"/>
      <x:c r="D29" s="50"/>
      <x:c r="E29" s="50"/>
      <x:c r="F29" s="51"/>
      <x:c r="G29" s="52"/>
      <x:c r="H29" s="53" t="str">
        <x:f>IF(OR(F29="",G29=""),"",F29*G29)</x:f>
      </x:c>
      <x:c r="I29" s="50"/>
      <x:c r="J29" s="50"/>
    </x:row>
    <x:row r="30">
      <x:c r="A30" s="48" t="str">
        <x:v>EXP-026</x:v>
      </x:c>
      <x:c r="B30" s="49"/>
      <x:c r="C30" s="50"/>
      <x:c r="D30" s="50"/>
      <x:c r="E30" s="50"/>
      <x:c r="F30" s="51"/>
      <x:c r="G30" s="52"/>
      <x:c r="H30" s="53" t="str">
        <x:f>IF(OR(F30="",G30=""),"",F30*G30)</x:f>
      </x:c>
      <x:c r="I30" s="50"/>
      <x:c r="J30" s="50"/>
    </x:row>
    <x:row r="31">
      <x:c r="A31" s="48" t="str">
        <x:v>EXP-027</x:v>
      </x:c>
      <x:c r="B31" s="49"/>
      <x:c r="C31" s="50"/>
      <x:c r="D31" s="50"/>
      <x:c r="E31" s="50"/>
      <x:c r="F31" s="51"/>
      <x:c r="G31" s="52"/>
      <x:c r="H31" s="53" t="str">
        <x:f>IF(OR(F31="",G31=""),"",F31*G31)</x:f>
      </x:c>
      <x:c r="I31" s="50"/>
      <x:c r="J31" s="50"/>
    </x:row>
    <x:row r="32">
      <x:c r="A32" s="48" t="str">
        <x:v>EXP-028</x:v>
      </x:c>
      <x:c r="B32" s="49"/>
      <x:c r="C32" s="50"/>
      <x:c r="D32" s="50"/>
      <x:c r="E32" s="50"/>
      <x:c r="F32" s="51"/>
      <x:c r="G32" s="52"/>
      <x:c r="H32" s="53" t="str">
        <x:f>IF(OR(F32="",G32=""),"",F32*G32)</x:f>
      </x:c>
      <x:c r="I32" s="50"/>
      <x:c r="J32" s="50"/>
    </x:row>
    <x:row r="33">
      <x:c r="A33" s="48" t="str">
        <x:v>EXP-029</x:v>
      </x:c>
      <x:c r="B33" s="49"/>
      <x:c r="C33" s="50"/>
      <x:c r="D33" s="50"/>
      <x:c r="E33" s="50"/>
      <x:c r="F33" s="51"/>
      <x:c r="G33" s="52"/>
      <x:c r="H33" s="53" t="str">
        <x:f>IF(OR(F33="",G33=""),"",F33*G33)</x:f>
      </x:c>
      <x:c r="I33" s="50"/>
      <x:c r="J33" s="50"/>
    </x:row>
    <x:row r="34">
      <x:c r="A34" s="48" t="str">
        <x:v>EXP-030</x:v>
      </x:c>
      <x:c r="B34" s="49"/>
      <x:c r="C34" s="50"/>
      <x:c r="D34" s="50"/>
      <x:c r="E34" s="50"/>
      <x:c r="F34" s="51"/>
      <x:c r="G34" s="52"/>
      <x:c r="H34" s="53" t="str">
        <x:f>IF(OR(F34="",G34=""),"",F34*G34)</x:f>
      </x:c>
      <x:c r="I34" s="50"/>
      <x:c r="J34" s="50"/>
    </x:row>
    <x:row r="35">
      <x:c r="A35" s="48" t="str">
        <x:v>EXP-031</x:v>
      </x:c>
      <x:c r="B35" s="49"/>
      <x:c r="C35" s="50"/>
      <x:c r="D35" s="50"/>
      <x:c r="E35" s="50"/>
      <x:c r="F35" s="51"/>
      <x:c r="G35" s="52"/>
      <x:c r="H35" s="53" t="str">
        <x:f>IF(OR(F35="",G35=""),"",F35*G35)</x:f>
      </x:c>
      <x:c r="I35" s="50"/>
      <x:c r="J35" s="50"/>
    </x:row>
    <x:row r="36">
      <x:c r="A36" s="48" t="str">
        <x:v>EXP-032</x:v>
      </x:c>
      <x:c r="B36" s="49"/>
      <x:c r="C36" s="50"/>
      <x:c r="D36" s="50"/>
      <x:c r="E36" s="50"/>
      <x:c r="F36" s="51"/>
      <x:c r="G36" s="52"/>
      <x:c r="H36" s="53" t="str">
        <x:f>IF(OR(F36="",G36=""),"",F36*G36)</x:f>
      </x:c>
      <x:c r="I36" s="50"/>
      <x:c r="J36" s="50"/>
    </x:row>
    <x:row r="37">
      <x:c r="A37" s="48" t="str">
        <x:v>EXP-033</x:v>
      </x:c>
      <x:c r="B37" s="49"/>
      <x:c r="C37" s="50"/>
      <x:c r="D37" s="50"/>
      <x:c r="E37" s="50"/>
      <x:c r="F37" s="51"/>
      <x:c r="G37" s="52"/>
      <x:c r="H37" s="53" t="str">
        <x:f>IF(OR(F37="",G37=""),"",F37*G37)</x:f>
      </x:c>
      <x:c r="I37" s="50"/>
      <x:c r="J37" s="50"/>
    </x:row>
    <x:row r="38">
      <x:c r="A38" s="48" t="str">
        <x:v>EXP-034</x:v>
      </x:c>
      <x:c r="B38" s="49"/>
      <x:c r="C38" s="50"/>
      <x:c r="D38" s="50"/>
      <x:c r="E38" s="50"/>
      <x:c r="F38" s="51"/>
      <x:c r="G38" s="52"/>
      <x:c r="H38" s="53" t="str">
        <x:f>IF(OR(F38="",G38=""),"",F38*G38)</x:f>
      </x:c>
      <x:c r="I38" s="50"/>
      <x:c r="J38" s="50"/>
    </x:row>
    <x:row r="39">
      <x:c r="A39" s="48" t="str">
        <x:v>EXP-035</x:v>
      </x:c>
      <x:c r="B39" s="49"/>
      <x:c r="C39" s="50"/>
      <x:c r="D39" s="50"/>
      <x:c r="E39" s="50"/>
      <x:c r="F39" s="51"/>
      <x:c r="G39" s="52"/>
      <x:c r="H39" s="53" t="str">
        <x:f>IF(OR(F39="",G39=""),"",F39*G39)</x:f>
      </x:c>
      <x:c r="I39" s="50"/>
      <x:c r="J39" s="50"/>
    </x:row>
    <x:row r="40">
      <x:c r="A40" s="48" t="str">
        <x:v>EXP-036</x:v>
      </x:c>
      <x:c r="B40" s="49"/>
      <x:c r="C40" s="50"/>
      <x:c r="D40" s="50"/>
      <x:c r="E40" s="50"/>
      <x:c r="F40" s="51"/>
      <x:c r="G40" s="52"/>
      <x:c r="H40" s="53" t="str">
        <x:f>IF(OR(F40="",G40=""),"",F40*G40)</x:f>
      </x:c>
      <x:c r="I40" s="50"/>
      <x:c r="J40" s="50"/>
    </x:row>
    <x:row r="41">
      <x:c r="A41" s="48" t="str">
        <x:v>EXP-037</x:v>
      </x:c>
      <x:c r="B41" s="49"/>
      <x:c r="C41" s="50"/>
      <x:c r="D41" s="50"/>
      <x:c r="E41" s="50"/>
      <x:c r="F41" s="51"/>
      <x:c r="G41" s="52"/>
      <x:c r="H41" s="53" t="str">
        <x:f>IF(OR(F41="",G41=""),"",F41*G41)</x:f>
      </x:c>
      <x:c r="I41" s="50"/>
      <x:c r="J41" s="50"/>
    </x:row>
    <x:row r="42">
      <x:c r="A42" s="48" t="str">
        <x:v>EXP-038</x:v>
      </x:c>
      <x:c r="B42" s="49"/>
      <x:c r="C42" s="50"/>
      <x:c r="D42" s="50"/>
      <x:c r="E42" s="50"/>
      <x:c r="F42" s="51"/>
      <x:c r="G42" s="52"/>
      <x:c r="H42" s="53" t="str">
        <x:f>IF(OR(F42="",G42=""),"",F42*G42)</x:f>
      </x:c>
      <x:c r="I42" s="50"/>
      <x:c r="J42" s="50"/>
    </x:row>
    <x:row r="43">
      <x:c r="A43" s="48" t="str">
        <x:v>EXP-039</x:v>
      </x:c>
      <x:c r="B43" s="49"/>
      <x:c r="C43" s="50"/>
      <x:c r="D43" s="50"/>
      <x:c r="E43" s="50"/>
      <x:c r="F43" s="51"/>
      <x:c r="G43" s="52"/>
      <x:c r="H43" s="53" t="str">
        <x:f>IF(OR(F43="",G43=""),"",F43*G43)</x:f>
      </x:c>
      <x:c r="I43" s="50"/>
      <x:c r="J43" s="50"/>
    </x:row>
    <x:row r="44">
      <x:c r="A44" s="48" t="str">
        <x:v>EXP-040</x:v>
      </x:c>
      <x:c r="B44" s="49"/>
      <x:c r="C44" s="50"/>
      <x:c r="D44" s="50"/>
      <x:c r="E44" s="50"/>
      <x:c r="F44" s="51"/>
      <x:c r="G44" s="52"/>
      <x:c r="H44" s="53" t="str">
        <x:f>IF(OR(F44="",G44=""),"",F44*G44)</x:f>
      </x:c>
      <x:c r="I44" s="50"/>
      <x:c r="J44" s="50"/>
    </x:row>
    <x:row r="45">
      <x:c r="A45" s="48" t="str">
        <x:v>EXP-041</x:v>
      </x:c>
      <x:c r="B45" s="49"/>
      <x:c r="C45" s="50"/>
      <x:c r="D45" s="50"/>
      <x:c r="E45" s="50"/>
      <x:c r="F45" s="51"/>
      <x:c r="G45" s="52"/>
      <x:c r="H45" s="53" t="str">
        <x:f>IF(OR(F45="",G45=""),"",F45*G45)</x:f>
      </x:c>
      <x:c r="I45" s="50"/>
      <x:c r="J45" s="50"/>
    </x:row>
    <x:row r="46">
      <x:c r="A46" s="48" t="str">
        <x:v>EXP-042</x:v>
      </x:c>
      <x:c r="B46" s="49"/>
      <x:c r="C46" s="50"/>
      <x:c r="D46" s="50"/>
      <x:c r="E46" s="50"/>
      <x:c r="F46" s="51"/>
      <x:c r="G46" s="52"/>
      <x:c r="H46" s="53" t="str">
        <x:f>IF(OR(F46="",G46=""),"",F46*G46)</x:f>
      </x:c>
      <x:c r="I46" s="50"/>
      <x:c r="J46" s="50"/>
    </x:row>
    <x:row r="47">
      <x:c r="A47" s="48" t="str">
        <x:v>EXP-043</x:v>
      </x:c>
      <x:c r="B47" s="49"/>
      <x:c r="C47" s="50"/>
      <x:c r="D47" s="50"/>
      <x:c r="E47" s="50"/>
      <x:c r="F47" s="51"/>
      <x:c r="G47" s="52"/>
      <x:c r="H47" s="53" t="str">
        <x:f>IF(OR(F47="",G47=""),"",F47*G47)</x:f>
      </x:c>
      <x:c r="I47" s="50"/>
      <x:c r="J47" s="50"/>
    </x:row>
    <x:row r="48">
      <x:c r="A48" s="48" t="str">
        <x:v>EXP-044</x:v>
      </x:c>
      <x:c r="B48" s="49"/>
      <x:c r="C48" s="50"/>
      <x:c r="D48" s="50"/>
      <x:c r="E48" s="50"/>
      <x:c r="F48" s="51"/>
      <x:c r="G48" s="52"/>
      <x:c r="H48" s="53" t="str">
        <x:f>IF(OR(F48="",G48=""),"",F48*G48)</x:f>
      </x:c>
      <x:c r="I48" s="50"/>
      <x:c r="J48" s="50"/>
    </x:row>
    <x:row r="49">
      <x:c r="A49" s="48" t="str">
        <x:v>EXP-045</x:v>
      </x:c>
      <x:c r="B49" s="49"/>
      <x:c r="C49" s="50"/>
      <x:c r="D49" s="50"/>
      <x:c r="E49" s="50"/>
      <x:c r="F49" s="51"/>
      <x:c r="G49" s="52"/>
      <x:c r="H49" s="53" t="str">
        <x:f>IF(OR(F49="",G49=""),"",F49*G49)</x:f>
      </x:c>
      <x:c r="I49" s="50"/>
      <x:c r="J49" s="50"/>
    </x:row>
    <x:row r="50">
      <x:c r="A50" s="48" t="str">
        <x:v>EXP-046</x:v>
      </x:c>
      <x:c r="B50" s="49"/>
      <x:c r="C50" s="50"/>
      <x:c r="D50" s="50"/>
      <x:c r="E50" s="50"/>
      <x:c r="F50" s="51"/>
      <x:c r="G50" s="52"/>
      <x:c r="H50" s="53" t="str">
        <x:f>IF(OR(F50="",G50=""),"",F50*G50)</x:f>
      </x:c>
      <x:c r="I50" s="50"/>
      <x:c r="J50" s="50"/>
    </x:row>
    <x:row r="51">
      <x:c r="A51" s="48" t="str">
        <x:v>EXP-047</x:v>
      </x:c>
      <x:c r="B51" s="49"/>
      <x:c r="C51" s="50"/>
      <x:c r="D51" s="50"/>
      <x:c r="E51" s="50"/>
      <x:c r="F51" s="51"/>
      <x:c r="G51" s="52"/>
      <x:c r="H51" s="53" t="str">
        <x:f>IF(OR(F51="",G51=""),"",F51*G51)</x:f>
      </x:c>
      <x:c r="I51" s="50"/>
      <x:c r="J51" s="50"/>
    </x:row>
    <x:row r="52">
      <x:c r="A52" s="48" t="str">
        <x:v>EXP-048</x:v>
      </x:c>
      <x:c r="B52" s="49"/>
      <x:c r="C52" s="50"/>
      <x:c r="D52" s="50"/>
      <x:c r="E52" s="50"/>
      <x:c r="F52" s="51"/>
      <x:c r="G52" s="52"/>
      <x:c r="H52" s="53" t="str">
        <x:f>IF(OR(F52="",G52=""),"",F52*G52)</x:f>
      </x:c>
      <x:c r="I52" s="50"/>
      <x:c r="J52" s="50"/>
    </x:row>
    <x:row r="53">
      <x:c r="A53" s="48" t="str">
        <x:v>EXP-049</x:v>
      </x:c>
      <x:c r="B53" s="49"/>
      <x:c r="C53" s="50"/>
      <x:c r="D53" s="50"/>
      <x:c r="E53" s="50"/>
      <x:c r="F53" s="51"/>
      <x:c r="G53" s="52"/>
      <x:c r="H53" s="53" t="str">
        <x:f>IF(OR(F53="",G53=""),"",F53*G53)</x:f>
      </x:c>
      <x:c r="I53" s="50"/>
      <x:c r="J53" s="50"/>
    </x:row>
    <x:row r="54">
      <x:c r="A54" s="48" t="str">
        <x:v>EXP-050</x:v>
      </x:c>
      <x:c r="B54" s="49"/>
      <x:c r="C54" s="50"/>
      <x:c r="D54" s="50"/>
      <x:c r="E54" s="50"/>
      <x:c r="F54" s="51"/>
      <x:c r="G54" s="52"/>
      <x:c r="H54" s="53" t="str">
        <x:f>IF(OR(F54="",G54=""),"",F54*G54)</x:f>
      </x:c>
      <x:c r="I54" s="50"/>
      <x:c r="J54" s="50"/>
    </x:row>
    <x:row r="55">
      <x:c r="A55" s="48" t="str">
        <x:v>EXP-051</x:v>
      </x:c>
      <x:c r="B55" s="49"/>
      <x:c r="C55" s="50"/>
      <x:c r="D55" s="50"/>
      <x:c r="E55" s="50"/>
      <x:c r="F55" s="51"/>
      <x:c r="G55" s="52"/>
      <x:c r="H55" s="53" t="str">
        <x:f>IF(OR(F55="",G55=""),"",F55*G55)</x:f>
      </x:c>
      <x:c r="I55" s="50"/>
      <x:c r="J55" s="50"/>
    </x:row>
    <x:row r="56">
      <x:c r="A56" s="48" t="str">
        <x:v>EXP-052</x:v>
      </x:c>
      <x:c r="B56" s="49"/>
      <x:c r="C56" s="50"/>
      <x:c r="D56" s="50"/>
      <x:c r="E56" s="50"/>
      <x:c r="F56" s="51"/>
      <x:c r="G56" s="52"/>
      <x:c r="H56" s="53" t="str">
        <x:f>IF(OR(F56="",G56=""),"",F56*G56)</x:f>
      </x:c>
      <x:c r="I56" s="50"/>
      <x:c r="J56" s="50"/>
    </x:row>
    <x:row r="57">
      <x:c r="A57" s="48" t="str">
        <x:v>EXP-053</x:v>
      </x:c>
      <x:c r="B57" s="49"/>
      <x:c r="C57" s="50"/>
      <x:c r="D57" s="50"/>
      <x:c r="E57" s="50"/>
      <x:c r="F57" s="51"/>
      <x:c r="G57" s="52"/>
      <x:c r="H57" s="53" t="str">
        <x:f>IF(OR(F57="",G57=""),"",F57*G57)</x:f>
      </x:c>
      <x:c r="I57" s="50"/>
      <x:c r="J57" s="50"/>
    </x:row>
    <x:row r="58">
      <x:c r="A58" s="48" t="str">
        <x:v>EXP-054</x:v>
      </x:c>
      <x:c r="B58" s="49"/>
      <x:c r="C58" s="50"/>
      <x:c r="D58" s="50"/>
      <x:c r="E58" s="50"/>
      <x:c r="F58" s="51"/>
      <x:c r="G58" s="52"/>
      <x:c r="H58" s="53" t="str">
        <x:f>IF(OR(F58="",G58=""),"",F58*G58)</x:f>
      </x:c>
      <x:c r="I58" s="50"/>
      <x:c r="J58" s="50"/>
    </x:row>
    <x:row r="59">
      <x:c r="A59" s="48" t="str">
        <x:v>EXP-055</x:v>
      </x:c>
      <x:c r="B59" s="49"/>
      <x:c r="C59" s="50"/>
      <x:c r="D59" s="50"/>
      <x:c r="E59" s="50"/>
      <x:c r="F59" s="51"/>
      <x:c r="G59" s="52"/>
      <x:c r="H59" s="53" t="str">
        <x:f>IF(OR(F59="",G59=""),"",F59*G59)</x:f>
      </x:c>
      <x:c r="I59" s="50"/>
      <x:c r="J59" s="50"/>
    </x:row>
    <x:row r="60">
      <x:c r="A60" s="48" t="str">
        <x:v>EXP-056</x:v>
      </x:c>
      <x:c r="B60" s="49"/>
      <x:c r="C60" s="50"/>
      <x:c r="D60" s="50"/>
      <x:c r="E60" s="50"/>
      <x:c r="F60" s="51"/>
      <x:c r="G60" s="52"/>
      <x:c r="H60" s="53" t="str">
        <x:f>IF(OR(F60="",G60=""),"",F60*G60)</x:f>
      </x:c>
      <x:c r="I60" s="50"/>
      <x:c r="J60" s="50"/>
    </x:row>
    <x:row r="61">
      <x:c r="A61" s="48" t="str">
        <x:v>EXP-057</x:v>
      </x:c>
      <x:c r="B61" s="49"/>
      <x:c r="C61" s="50"/>
      <x:c r="D61" s="50"/>
      <x:c r="E61" s="50"/>
      <x:c r="F61" s="51"/>
      <x:c r="G61" s="52"/>
      <x:c r="H61" s="53" t="str">
        <x:f>IF(OR(F61="",G61=""),"",F61*G61)</x:f>
      </x:c>
      <x:c r="I61" s="50"/>
      <x:c r="J61" s="50"/>
    </x:row>
    <x:row r="62">
      <x:c r="A62" s="48" t="str">
        <x:v>EXP-058</x:v>
      </x:c>
      <x:c r="B62" s="49"/>
      <x:c r="C62" s="50"/>
      <x:c r="D62" s="50"/>
      <x:c r="E62" s="50"/>
      <x:c r="F62" s="51"/>
      <x:c r="G62" s="52"/>
      <x:c r="H62" s="53" t="str">
        <x:f>IF(OR(F62="",G62=""),"",F62*G62)</x:f>
      </x:c>
      <x:c r="I62" s="50"/>
      <x:c r="J62" s="50"/>
    </x:row>
    <x:row r="63">
      <x:c r="A63" s="48" t="str">
        <x:v>EXP-059</x:v>
      </x:c>
      <x:c r="B63" s="49"/>
      <x:c r="C63" s="50"/>
      <x:c r="D63" s="50"/>
      <x:c r="E63" s="50"/>
      <x:c r="F63" s="51"/>
      <x:c r="G63" s="52"/>
      <x:c r="H63" s="53" t="str">
        <x:f>IF(OR(F63="",G63=""),"",F63*G63)</x:f>
      </x:c>
      <x:c r="I63" s="50"/>
      <x:c r="J63" s="50"/>
    </x:row>
    <x:row r="64">
      <x:c r="A64" s="48" t="str">
        <x:v>EXP-060</x:v>
      </x:c>
      <x:c r="B64" s="49"/>
      <x:c r="C64" s="50"/>
      <x:c r="D64" s="50"/>
      <x:c r="E64" s="50"/>
      <x:c r="F64" s="51"/>
      <x:c r="G64" s="52"/>
      <x:c r="H64" s="53" t="str">
        <x:f>IF(OR(F64="",G64=""),"",F64*G64)</x:f>
      </x:c>
      <x:c r="I64" s="50"/>
      <x:c r="J64" s="50"/>
    </x:row>
    <x:row r="65">
      <x:c r="A65" s="48" t="str">
        <x:v>EXP-061</x:v>
      </x:c>
      <x:c r="B65" s="49"/>
      <x:c r="C65" s="50"/>
      <x:c r="D65" s="50"/>
      <x:c r="E65" s="50"/>
      <x:c r="F65" s="51"/>
      <x:c r="G65" s="52"/>
      <x:c r="H65" s="53" t="str">
        <x:f>IF(OR(F65="",G65=""),"",F65*G65)</x:f>
      </x:c>
      <x:c r="I65" s="50"/>
      <x:c r="J65" s="50"/>
    </x:row>
    <x:row r="66">
      <x:c r="A66" s="48" t="str">
        <x:v>EXP-062</x:v>
      </x:c>
      <x:c r="B66" s="49"/>
      <x:c r="C66" s="50"/>
      <x:c r="D66" s="50"/>
      <x:c r="E66" s="50"/>
      <x:c r="F66" s="51"/>
      <x:c r="G66" s="52"/>
      <x:c r="H66" s="53" t="str">
        <x:f>IF(OR(F66="",G66=""),"",F66*G66)</x:f>
      </x:c>
      <x:c r="I66" s="50"/>
      <x:c r="J66" s="50"/>
    </x:row>
    <x:row r="67">
      <x:c r="A67" s="48" t="str">
        <x:v>EXP-063</x:v>
      </x:c>
      <x:c r="B67" s="49"/>
      <x:c r="C67" s="50"/>
      <x:c r="D67" s="50"/>
      <x:c r="E67" s="50"/>
      <x:c r="F67" s="51"/>
      <x:c r="G67" s="52"/>
      <x:c r="H67" s="53" t="str">
        <x:f>IF(OR(F67="",G67=""),"",F67*G67)</x:f>
      </x:c>
      <x:c r="I67" s="50"/>
      <x:c r="J67" s="50"/>
    </x:row>
    <x:row r="68">
      <x:c r="A68" s="48" t="str">
        <x:v>EXP-064</x:v>
      </x:c>
      <x:c r="B68" s="49"/>
      <x:c r="C68" s="50"/>
      <x:c r="D68" s="50"/>
      <x:c r="E68" s="50"/>
      <x:c r="F68" s="51"/>
      <x:c r="G68" s="52"/>
      <x:c r="H68" s="53" t="str">
        <x:f>IF(OR(F68="",G68=""),"",F68*G68)</x:f>
      </x:c>
      <x:c r="I68" s="50"/>
      <x:c r="J68" s="50"/>
    </x:row>
    <x:row r="69">
      <x:c r="A69" s="48" t="str">
        <x:v>EXP-065</x:v>
      </x:c>
      <x:c r="B69" s="49"/>
      <x:c r="C69" s="50"/>
      <x:c r="D69" s="50"/>
      <x:c r="E69" s="50"/>
      <x:c r="F69" s="51"/>
      <x:c r="G69" s="52"/>
      <x:c r="H69" s="53" t="str">
        <x:f>IF(OR(F69="",G69=""),"",F69*G69)</x:f>
      </x:c>
      <x:c r="I69" s="50"/>
      <x:c r="J69" s="50"/>
    </x:row>
    <x:row r="70">
      <x:c r="A70" s="48" t="str">
        <x:v>EXP-066</x:v>
      </x:c>
      <x:c r="B70" s="49"/>
      <x:c r="C70" s="50"/>
      <x:c r="D70" s="50"/>
      <x:c r="E70" s="50"/>
      <x:c r="F70" s="51"/>
      <x:c r="G70" s="52"/>
      <x:c r="H70" s="53" t="str">
        <x:f>IF(OR(F70="",G70=""),"",F70*G70)</x:f>
      </x:c>
      <x:c r="I70" s="50"/>
      <x:c r="J70" s="50"/>
    </x:row>
    <x:row r="71">
      <x:c r="A71" s="48" t="str">
        <x:v>EXP-067</x:v>
      </x:c>
      <x:c r="B71" s="49"/>
      <x:c r="C71" s="50"/>
      <x:c r="D71" s="50"/>
      <x:c r="E71" s="50"/>
      <x:c r="F71" s="51"/>
      <x:c r="G71" s="52"/>
      <x:c r="H71" s="53" t="str">
        <x:f>IF(OR(F71="",G71=""),"",F71*G71)</x:f>
      </x:c>
      <x:c r="I71" s="50"/>
      <x:c r="J71" s="50"/>
    </x:row>
    <x:row r="72">
      <x:c r="A72" s="48" t="str">
        <x:v>EXP-068</x:v>
      </x:c>
      <x:c r="B72" s="49"/>
      <x:c r="C72" s="50"/>
      <x:c r="D72" s="50"/>
      <x:c r="E72" s="50"/>
      <x:c r="F72" s="51"/>
      <x:c r="G72" s="52"/>
      <x:c r="H72" s="53" t="str">
        <x:f>IF(OR(F72="",G72=""),"",F72*G72)</x:f>
      </x:c>
      <x:c r="I72" s="50"/>
      <x:c r="J72" s="50"/>
    </x:row>
    <x:row r="73">
      <x:c r="A73" s="48" t="str">
        <x:v>EXP-069</x:v>
      </x:c>
      <x:c r="B73" s="49"/>
      <x:c r="C73" s="50"/>
      <x:c r="D73" s="50"/>
      <x:c r="E73" s="50"/>
      <x:c r="F73" s="51"/>
      <x:c r="G73" s="52"/>
      <x:c r="H73" s="53" t="str">
        <x:f>IF(OR(F73="",G73=""),"",F73*G73)</x:f>
      </x:c>
      <x:c r="I73" s="50"/>
      <x:c r="J73" s="50"/>
    </x:row>
    <x:row r="74">
      <x:c r="A74" s="48" t="str">
        <x:v>EXP-070</x:v>
      </x:c>
      <x:c r="B74" s="49"/>
      <x:c r="C74" s="50"/>
      <x:c r="D74" s="50"/>
      <x:c r="E74" s="50"/>
      <x:c r="F74" s="51"/>
      <x:c r="G74" s="52"/>
      <x:c r="H74" s="53" t="str">
        <x:f>IF(OR(F74="",G74=""),"",F74*G74)</x:f>
      </x:c>
      <x:c r="I74" s="50"/>
      <x:c r="J74" s="50"/>
    </x:row>
    <x:row r="75">
      <x:c r="A75" s="48" t="str">
        <x:v>EXP-071</x:v>
      </x:c>
      <x:c r="B75" s="49"/>
      <x:c r="C75" s="50"/>
      <x:c r="D75" s="50"/>
      <x:c r="E75" s="50"/>
      <x:c r="F75" s="51"/>
      <x:c r="G75" s="52"/>
      <x:c r="H75" s="53" t="str">
        <x:f>IF(OR(F75="",G75=""),"",F75*G75)</x:f>
      </x:c>
      <x:c r="I75" s="50"/>
      <x:c r="J75" s="50"/>
    </x:row>
    <x:row r="76">
      <x:c r="A76" s="48" t="str">
        <x:v>EXP-072</x:v>
      </x:c>
      <x:c r="B76" s="49"/>
      <x:c r="C76" s="50"/>
      <x:c r="D76" s="50"/>
      <x:c r="E76" s="50"/>
      <x:c r="F76" s="51"/>
      <x:c r="G76" s="52"/>
      <x:c r="H76" s="53" t="str">
        <x:f>IF(OR(F76="",G76=""),"",F76*G76)</x:f>
      </x:c>
      <x:c r="I76" s="50"/>
      <x:c r="J76" s="50"/>
    </x:row>
    <x:row r="77">
      <x:c r="A77" s="48" t="str">
        <x:v>EXP-073</x:v>
      </x:c>
      <x:c r="B77" s="49"/>
      <x:c r="C77" s="50"/>
      <x:c r="D77" s="50"/>
      <x:c r="E77" s="50"/>
      <x:c r="F77" s="51"/>
      <x:c r="G77" s="52"/>
      <x:c r="H77" s="53" t="str">
        <x:f>IF(OR(F77="",G77=""),"",F77*G77)</x:f>
      </x:c>
      <x:c r="I77" s="50"/>
      <x:c r="J77" s="50"/>
    </x:row>
    <x:row r="78">
      <x:c r="A78" s="48" t="str">
        <x:v>EXP-074</x:v>
      </x:c>
      <x:c r="B78" s="49"/>
      <x:c r="C78" s="50"/>
      <x:c r="D78" s="50"/>
      <x:c r="E78" s="50"/>
      <x:c r="F78" s="51"/>
      <x:c r="G78" s="52"/>
      <x:c r="H78" s="53" t="str">
        <x:f>IF(OR(F78="",G78=""),"",F78*G78)</x:f>
      </x:c>
      <x:c r="I78" s="50"/>
      <x:c r="J78" s="50"/>
    </x:row>
    <x:row r="79">
      <x:c r="A79" s="48" t="str">
        <x:v>EXP-075</x:v>
      </x:c>
      <x:c r="B79" s="49"/>
      <x:c r="C79" s="50"/>
      <x:c r="D79" s="50"/>
      <x:c r="E79" s="50"/>
      <x:c r="F79" s="51"/>
      <x:c r="G79" s="52"/>
      <x:c r="H79" s="53" t="str">
        <x:f>IF(OR(F79="",G79=""),"",F79*G79)</x:f>
      </x:c>
      <x:c r="I79" s="50"/>
      <x:c r="J79" s="50"/>
    </x:row>
    <x:row r="80">
      <x:c r="A80" s="48" t="str">
        <x:v>EXP-076</x:v>
      </x:c>
      <x:c r="B80" s="49"/>
      <x:c r="C80" s="50"/>
      <x:c r="D80" s="50"/>
      <x:c r="E80" s="50"/>
      <x:c r="F80" s="51"/>
      <x:c r="G80" s="52"/>
      <x:c r="H80" s="53" t="str">
        <x:f>IF(OR(F80="",G80=""),"",F80*G80)</x:f>
      </x:c>
      <x:c r="I80" s="50"/>
      <x:c r="J80" s="50"/>
    </x:row>
    <x:row r="81">
      <x:c r="A81" s="48" t="str">
        <x:v>EXP-077</x:v>
      </x:c>
      <x:c r="B81" s="49"/>
      <x:c r="C81" s="50"/>
      <x:c r="D81" s="50"/>
      <x:c r="E81" s="50"/>
      <x:c r="F81" s="51"/>
      <x:c r="G81" s="52"/>
      <x:c r="H81" s="53" t="str">
        <x:f>IF(OR(F81="",G81=""),"",F81*G81)</x:f>
      </x:c>
      <x:c r="I81" s="50"/>
      <x:c r="J81" s="50"/>
    </x:row>
    <x:row r="82">
      <x:c r="A82" s="48" t="str">
        <x:v>EXP-078</x:v>
      </x:c>
      <x:c r="B82" s="49"/>
      <x:c r="C82" s="50"/>
      <x:c r="D82" s="50"/>
      <x:c r="E82" s="50"/>
      <x:c r="F82" s="51"/>
      <x:c r="G82" s="52"/>
      <x:c r="H82" s="53" t="str">
        <x:f>IF(OR(F82="",G82=""),"",F82*G82)</x:f>
      </x:c>
      <x:c r="I82" s="50"/>
      <x:c r="J82" s="50"/>
    </x:row>
    <x:row r="83">
      <x:c r="A83" s="48" t="str">
        <x:v>EXP-079</x:v>
      </x:c>
      <x:c r="B83" s="49"/>
      <x:c r="C83" s="50"/>
      <x:c r="D83" s="50"/>
      <x:c r="E83" s="50"/>
      <x:c r="F83" s="51"/>
      <x:c r="G83" s="52"/>
      <x:c r="H83" s="53" t="str">
        <x:f>IF(OR(F83="",G83=""),"",F83*G83)</x:f>
      </x:c>
      <x:c r="I83" s="50"/>
      <x:c r="J83" s="50"/>
    </x:row>
    <x:row r="84">
      <x:c r="A84" s="48" t="str">
        <x:v>EXP-080</x:v>
      </x:c>
      <x:c r="B84" s="49"/>
      <x:c r="C84" s="50"/>
      <x:c r="D84" s="50"/>
      <x:c r="E84" s="50"/>
      <x:c r="F84" s="51"/>
      <x:c r="G84" s="52"/>
      <x:c r="H84" s="53" t="str">
        <x:f>IF(OR(F84="",G84=""),"",F84*G84)</x:f>
      </x:c>
      <x:c r="I84" s="50"/>
      <x:c r="J84" s="50"/>
    </x:row>
    <x:row r="85">
      <x:c r="A85" s="48" t="str">
        <x:v>EXP-081</x:v>
      </x:c>
      <x:c r="B85" s="49"/>
      <x:c r="C85" s="50"/>
      <x:c r="D85" s="50"/>
      <x:c r="E85" s="50"/>
      <x:c r="F85" s="51"/>
      <x:c r="G85" s="52"/>
      <x:c r="H85" s="53" t="str">
        <x:f>IF(OR(F85="",G85=""),"",F85*G85)</x:f>
      </x:c>
      <x:c r="I85" s="50"/>
      <x:c r="J85" s="50"/>
    </x:row>
    <x:row r="86">
      <x:c r="A86" s="48" t="str">
        <x:v>EXP-082</x:v>
      </x:c>
      <x:c r="B86" s="49"/>
      <x:c r="C86" s="50"/>
      <x:c r="D86" s="50"/>
      <x:c r="E86" s="50"/>
      <x:c r="F86" s="51"/>
      <x:c r="G86" s="52"/>
      <x:c r="H86" s="53" t="str">
        <x:f>IF(OR(F86="",G86=""),"",F86*G86)</x:f>
      </x:c>
      <x:c r="I86" s="50"/>
      <x:c r="J86" s="50"/>
    </x:row>
    <x:row r="87">
      <x:c r="A87" s="48" t="str">
        <x:v>EXP-083</x:v>
      </x:c>
      <x:c r="B87" s="49"/>
      <x:c r="C87" s="50"/>
      <x:c r="D87" s="50"/>
      <x:c r="E87" s="50"/>
      <x:c r="F87" s="51"/>
      <x:c r="G87" s="52"/>
      <x:c r="H87" s="53" t="str">
        <x:f>IF(OR(F87="",G87=""),"",F87*G87)</x:f>
      </x:c>
      <x:c r="I87" s="50"/>
      <x:c r="J87" s="50"/>
    </x:row>
    <x:row r="88">
      <x:c r="A88" s="48" t="str">
        <x:v>EXP-084</x:v>
      </x:c>
      <x:c r="B88" s="49"/>
      <x:c r="C88" s="50"/>
      <x:c r="D88" s="50"/>
      <x:c r="E88" s="50"/>
      <x:c r="F88" s="51"/>
      <x:c r="G88" s="52"/>
      <x:c r="H88" s="53" t="str">
        <x:f>IF(OR(F88="",G88=""),"",F88*G88)</x:f>
      </x:c>
      <x:c r="I88" s="50"/>
      <x:c r="J88" s="50"/>
    </x:row>
    <x:row r="89">
      <x:c r="A89" s="48" t="str">
        <x:v>EXP-085</x:v>
      </x:c>
      <x:c r="B89" s="49"/>
      <x:c r="C89" s="50"/>
      <x:c r="D89" s="50"/>
      <x:c r="E89" s="50"/>
      <x:c r="F89" s="51"/>
      <x:c r="G89" s="52"/>
      <x:c r="H89" s="53" t="str">
        <x:f>IF(OR(F89="",G89=""),"",F89*G89)</x:f>
      </x:c>
      <x:c r="I89" s="50"/>
      <x:c r="J89" s="50"/>
    </x:row>
    <x:row r="90">
      <x:c r="A90" s="48" t="str">
        <x:v>EXP-086</x:v>
      </x:c>
      <x:c r="B90" s="49"/>
      <x:c r="C90" s="50"/>
      <x:c r="D90" s="50"/>
      <x:c r="E90" s="50"/>
      <x:c r="F90" s="51"/>
      <x:c r="G90" s="52"/>
      <x:c r="H90" s="53" t="str">
        <x:f>IF(OR(F90="",G90=""),"",F90*G90)</x:f>
      </x:c>
      <x:c r="I90" s="50"/>
      <x:c r="J90" s="50"/>
    </x:row>
    <x:row r="91">
      <x:c r="A91" s="48" t="str">
        <x:v>EXP-087</x:v>
      </x:c>
      <x:c r="B91" s="49"/>
      <x:c r="C91" s="50"/>
      <x:c r="D91" s="50"/>
      <x:c r="E91" s="50"/>
      <x:c r="F91" s="51"/>
      <x:c r="G91" s="52"/>
      <x:c r="H91" s="53" t="str">
        <x:f>IF(OR(F91="",G91=""),"",F91*G91)</x:f>
      </x:c>
      <x:c r="I91" s="50"/>
      <x:c r="J91" s="50"/>
    </x:row>
    <x:row r="92">
      <x:c r="A92" s="48" t="str">
        <x:v>EXP-088</x:v>
      </x:c>
      <x:c r="B92" s="49"/>
      <x:c r="C92" s="50"/>
      <x:c r="D92" s="50"/>
      <x:c r="E92" s="50"/>
      <x:c r="F92" s="51"/>
      <x:c r="G92" s="52"/>
      <x:c r="H92" s="53" t="str">
        <x:f>IF(OR(F92="",G92=""),"",F92*G92)</x:f>
      </x:c>
      <x:c r="I92" s="50"/>
      <x:c r="J92" s="50"/>
    </x:row>
    <x:row r="93">
      <x:c r="A93" s="48" t="str">
        <x:v>EXP-089</x:v>
      </x:c>
      <x:c r="B93" s="49"/>
      <x:c r="C93" s="50"/>
      <x:c r="D93" s="50"/>
      <x:c r="E93" s="50"/>
      <x:c r="F93" s="51"/>
      <x:c r="G93" s="52"/>
      <x:c r="H93" s="53" t="str">
        <x:f>IF(OR(F93="",G93=""),"",F93*G93)</x:f>
      </x:c>
      <x:c r="I93" s="50"/>
      <x:c r="J93" s="50"/>
    </x:row>
    <x:row r="94">
      <x:c r="A94" s="48" t="str">
        <x:v>EXP-090</x:v>
      </x:c>
      <x:c r="B94" s="49"/>
      <x:c r="C94" s="50"/>
      <x:c r="D94" s="50"/>
      <x:c r="E94" s="50"/>
      <x:c r="F94" s="51"/>
      <x:c r="G94" s="52"/>
      <x:c r="H94" s="53" t="str">
        <x:f>IF(OR(F94="",G94=""),"",F94*G94)</x:f>
      </x:c>
      <x:c r="I94" s="50"/>
      <x:c r="J94" s="50"/>
    </x:row>
    <x:row r="95">
      <x:c r="A95" s="48" t="str">
        <x:v>EXP-091</x:v>
      </x:c>
      <x:c r="B95" s="49"/>
      <x:c r="C95" s="50"/>
      <x:c r="D95" s="50"/>
      <x:c r="E95" s="50"/>
      <x:c r="F95" s="51"/>
      <x:c r="G95" s="52"/>
      <x:c r="H95" s="53" t="str">
        <x:f>IF(OR(F95="",G95=""),"",F95*G95)</x:f>
      </x:c>
      <x:c r="I95" s="50"/>
      <x:c r="J95" s="50"/>
    </x:row>
    <x:row r="96">
      <x:c r="A96" s="48" t="str">
        <x:v>EXP-092</x:v>
      </x:c>
      <x:c r="B96" s="49"/>
      <x:c r="C96" s="50"/>
      <x:c r="D96" s="50"/>
      <x:c r="E96" s="50"/>
      <x:c r="F96" s="51"/>
      <x:c r="G96" s="52"/>
      <x:c r="H96" s="53" t="str">
        <x:f>IF(OR(F96="",G96=""),"",F96*G96)</x:f>
      </x:c>
      <x:c r="I96" s="50"/>
      <x:c r="J96" s="50"/>
    </x:row>
    <x:row r="97">
      <x:c r="A97" s="48" t="str">
        <x:v>EXP-093</x:v>
      </x:c>
      <x:c r="B97" s="49"/>
      <x:c r="C97" s="50"/>
      <x:c r="D97" s="50"/>
      <x:c r="E97" s="50"/>
      <x:c r="F97" s="51"/>
      <x:c r="G97" s="52"/>
      <x:c r="H97" s="53" t="str">
        <x:f>IF(OR(F97="",G97=""),"",F97*G97)</x:f>
      </x:c>
      <x:c r="I97" s="50"/>
      <x:c r="J97" s="50"/>
    </x:row>
    <x:row r="98">
      <x:c r="A98" s="48" t="str">
        <x:v>EXP-094</x:v>
      </x:c>
      <x:c r="B98" s="49"/>
      <x:c r="C98" s="50"/>
      <x:c r="D98" s="50"/>
      <x:c r="E98" s="50"/>
      <x:c r="F98" s="51"/>
      <x:c r="G98" s="52"/>
      <x:c r="H98" s="53" t="str">
        <x:f>IF(OR(F98="",G98=""),"",F98*G98)</x:f>
      </x:c>
      <x:c r="I98" s="50"/>
      <x:c r="J98" s="50"/>
    </x:row>
    <x:row r="99">
      <x:c r="A99" s="48" t="str">
        <x:v>EXP-095</x:v>
      </x:c>
      <x:c r="B99" s="49"/>
      <x:c r="C99" s="50"/>
      <x:c r="D99" s="50"/>
      <x:c r="E99" s="50"/>
      <x:c r="F99" s="51"/>
      <x:c r="G99" s="52"/>
      <x:c r="H99" s="53" t="str">
        <x:f>IF(OR(F99="",G99=""),"",F99*G99)</x:f>
      </x:c>
      <x:c r="I99" s="50"/>
      <x:c r="J99" s="50"/>
    </x:row>
    <x:row r="100">
      <x:c r="A100" s="48" t="str">
        <x:v>EXP-096</x:v>
      </x:c>
      <x:c r="B100" s="49"/>
      <x:c r="C100" s="50"/>
      <x:c r="D100" s="50"/>
      <x:c r="E100" s="50"/>
      <x:c r="F100" s="51"/>
      <x:c r="G100" s="52"/>
      <x:c r="H100" s="53" t="str">
        <x:f>IF(OR(F100="",G100=""),"",F100*G100)</x:f>
      </x:c>
      <x:c r="I100" s="50"/>
      <x:c r="J100" s="50"/>
    </x:row>
    <x:row r="101">
      <x:c r="A101" s="48" t="str">
        <x:v>EXP-097</x:v>
      </x:c>
      <x:c r="B101" s="49"/>
      <x:c r="C101" s="50"/>
      <x:c r="D101" s="50"/>
      <x:c r="E101" s="50"/>
      <x:c r="F101" s="51"/>
      <x:c r="G101" s="52"/>
      <x:c r="H101" s="53" t="str">
        <x:f>IF(OR(F101="",G101=""),"",F101*G101)</x:f>
      </x:c>
      <x:c r="I101" s="50"/>
      <x:c r="J101" s="50"/>
    </x:row>
    <x:row r="102">
      <x:c r="A102" s="48" t="str">
        <x:v>EXP-098</x:v>
      </x:c>
      <x:c r="B102" s="49"/>
      <x:c r="C102" s="50"/>
      <x:c r="D102" s="50"/>
      <x:c r="E102" s="50"/>
      <x:c r="F102" s="51"/>
      <x:c r="G102" s="52"/>
      <x:c r="H102" s="53" t="str">
        <x:f>IF(OR(F102="",G102=""),"",F102*G102)</x:f>
      </x:c>
      <x:c r="I102" s="50"/>
      <x:c r="J102" s="50"/>
    </x:row>
    <x:row r="103">
      <x:c r="A103" s="48" t="str">
        <x:v>EXP-099</x:v>
      </x:c>
      <x:c r="B103" s="49"/>
      <x:c r="C103" s="50"/>
      <x:c r="D103" s="50"/>
      <x:c r="E103" s="50"/>
      <x:c r="F103" s="51"/>
      <x:c r="G103" s="52"/>
      <x:c r="H103" s="53" t="str">
        <x:f>IF(OR(F103="",G103=""),"",F103*G103)</x:f>
      </x:c>
      <x:c r="I103" s="50"/>
      <x:c r="J103" s="50"/>
    </x:row>
    <x:row r="104">
      <x:c r="A104" s="54" t="str">
        <x:v>EXP-100</x:v>
      </x:c>
      <x:c r="B104" s="55"/>
      <x:c r="C104" s="56"/>
      <x:c r="D104" s="56"/>
      <x:c r="E104" s="56"/>
      <x:c r="F104" s="57"/>
      <x:c r="G104" s="58"/>
      <x:c r="H104" s="59" t="str">
        <x:f>IF(OR(F104="",G104=""),"",F104*G104)</x:f>
      </x:c>
      <x:c r="I104" s="56"/>
      <x:c r="J104" s="56"/>
    </x:row>
    <x:row r="106">
      <x:c r="G106" s="61" t="str">
        <x:v>TOTAL EXPENSES</x:v>
      </x:c>
      <x:c r="H106" s="62" t="n">
        <x:f>SUM(H5:H104)</x:f>
        <x:v>0</x:v>
      </x:c>
    </x:row>
  </x:sheetData>
  <x:mergeCells>
    <x:mergeCell ref="A1:J1"/>
    <x:mergeCell ref="A2:J2"/>
  </x:mergeCells>
  <x:dataValidations count="2">
    <x:dataValidation type="list" sqref="C5:C104">
      <x:formula1>'Lists'!$A$2:$A$11</x:formula1>
    </x:dataValidation>
    <x:dataValidation type="list" sqref="I5:I104">
      <x:formula1>'Lists'!$B$2:$B$6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</x:cols>
  <x:sheetData>
    <x:row r="1">
      <x:c r="A1" s="4" t="str">
        <x:v>EXPENSE CATEGORIES</x:v>
      </x:c>
      <x:c r="B1" s="5" t="str">
        <x:v>PAYMENT METHODS</x:v>
      </x:c>
    </x:row>
    <x:row r="2">
      <x:c r="A2" s="6" t="str">
        <x:v>Materials</x:v>
      </x:c>
      <x:c r="B2" s="7" t="str">
        <x:v>Cash</x:v>
      </x:c>
    </x:row>
    <x:row r="3">
      <x:c r="A3" s="6" t="str">
        <x:v>Labor</x:v>
      </x:c>
      <x:c r="B3" s="7" t="str">
        <x:v>Bank Transfer</x:v>
      </x:c>
    </x:row>
    <x:row r="4">
      <x:c r="A4" s="6" t="str">
        <x:v>Equipment</x:v>
      </x:c>
      <x:c r="B4" s="7" t="str">
        <x:v>GCash</x:v>
      </x:c>
    </x:row>
    <x:row r="5">
      <x:c r="A5" s="6" t="str">
        <x:v>Transportation</x:v>
      </x:c>
      <x:c r="B5" s="7" t="str">
        <x:v>Check</x:v>
      </x:c>
    </x:row>
    <x:row r="6">
      <x:c r="A6" s="6" t="str">
        <x:v>Permits &amp; Fees</x:v>
      </x:c>
      <x:c r="B6" s="7" t="str">
        <x:v>Other</x:v>
      </x:c>
    </x:row>
    <x:row r="7">
      <x:c r="A7" s="6" t="str">
        <x:v>Utilities</x:v>
      </x:c>
      <x:c r="B7" s="7"/>
    </x:row>
    <x:row r="8">
      <x:c r="A8" s="6" t="str">
        <x:v>Food &amp; Allowance</x:v>
      </x:c>
      <x:c r="B8" s="7"/>
    </x:row>
    <x:row r="9">
      <x:c r="A9" s="6" t="str">
        <x:v>Subcontractor</x:v>
      </x:c>
      <x:c r="B9" s="7"/>
    </x:row>
    <x:row r="10">
      <x:c r="A10" s="6" t="str">
        <x:v>Miscellaneous</x:v>
      </x:c>
      <x:c r="B10" s="7"/>
    </x:row>
    <x:row r="11">
      <x:c r="A11" s="8" t="str">
        <x:v>Other</x:v>
      </x:c>
      <x:c r="B11" s="9"/>
    </x:row>
  </x:sheetData>
  <x:pageMargins left="0.7" right="0.7" top="0.75" bottom="0.75" header="0.3" footer="0.3"/>
</x:worksheet>
</file>